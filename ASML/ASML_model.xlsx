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olders\Job Application\"/>
    </mc:Choice>
  </mc:AlternateContent>
  <xr:revisionPtr revIDLastSave="0" documentId="13_ncr:1_{EB30E062-6431-45B2-ABCE-60B3820F9C75}" xr6:coauthVersionLast="36" xr6:coauthVersionMax="36" xr10:uidLastSave="{00000000-0000-0000-0000-000000000000}"/>
  <bookViews>
    <workbookView xWindow="0" yWindow="0" windowWidth="23040" windowHeight="8940" activeTab="2" xr2:uid="{51707531-EB79-4AAB-BA4D-315592DF6CD5}"/>
  </bookViews>
  <sheets>
    <sheet name="Summary" sheetId="5" r:id="rId1"/>
    <sheet name="Assumptions" sheetId="2" r:id="rId2"/>
    <sheet name="Scenarios" sheetId="3" r:id="rId3"/>
    <sheet name="Model" sheetId="1" r:id="rId4"/>
    <sheet name="Valuation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1" i="4" l="1"/>
  <c r="B88" i="4"/>
  <c r="B55" i="4"/>
  <c r="B31" i="4"/>
  <c r="B2" i="4"/>
  <c r="G7" i="3" l="1"/>
  <c r="H94" i="5" l="1"/>
  <c r="I94" i="5"/>
  <c r="J94" i="5"/>
  <c r="K94" i="5"/>
  <c r="L94" i="5"/>
  <c r="M94" i="5"/>
  <c r="N94" i="5"/>
  <c r="O94" i="5"/>
  <c r="P94" i="5"/>
  <c r="G94" i="5"/>
  <c r="H51" i="5"/>
  <c r="I51" i="5"/>
  <c r="J51" i="5"/>
  <c r="K51" i="5"/>
  <c r="L51" i="5"/>
  <c r="M51" i="5"/>
  <c r="N51" i="5"/>
  <c r="O51" i="5"/>
  <c r="P51" i="5"/>
  <c r="G51" i="5"/>
  <c r="T2" i="5"/>
  <c r="H8" i="5"/>
  <c r="I8" i="5"/>
  <c r="J8" i="5"/>
  <c r="K8" i="5"/>
  <c r="L8" i="5"/>
  <c r="M8" i="5"/>
  <c r="N8" i="5"/>
  <c r="O8" i="5"/>
  <c r="P8" i="5"/>
  <c r="G8" i="5"/>
  <c r="AD39" i="5"/>
  <c r="Z33" i="5"/>
  <c r="AA33" i="5"/>
  <c r="AB33" i="5"/>
  <c r="AC33" i="5"/>
  <c r="Y33" i="5"/>
  <c r="Z32" i="5"/>
  <c r="AA32" i="5"/>
  <c r="AB32" i="5"/>
  <c r="AC32" i="5"/>
  <c r="Y32" i="5"/>
  <c r="Z31" i="5"/>
  <c r="AA31" i="5"/>
  <c r="AB31" i="5"/>
  <c r="AC31" i="5"/>
  <c r="Y31" i="5"/>
  <c r="Z26" i="5"/>
  <c r="AA26" i="5"/>
  <c r="AB26" i="5"/>
  <c r="AC26" i="5"/>
  <c r="Y26" i="5"/>
  <c r="Z25" i="5"/>
  <c r="AA25" i="5"/>
  <c r="AB25" i="5"/>
  <c r="AC25" i="5"/>
  <c r="Y25" i="5"/>
  <c r="Z24" i="5"/>
  <c r="AA24" i="5"/>
  <c r="AB24" i="5"/>
  <c r="AC24" i="5"/>
  <c r="Y24" i="5"/>
  <c r="Z18" i="5"/>
  <c r="AA18" i="5"/>
  <c r="AA20" i="5" s="1"/>
  <c r="AB18" i="5"/>
  <c r="AC18" i="5"/>
  <c r="Y18" i="5"/>
  <c r="Z13" i="5"/>
  <c r="AA13" i="5"/>
  <c r="AA15" i="5" s="1"/>
  <c r="AB13" i="5"/>
  <c r="AC13" i="5"/>
  <c r="Y13" i="5"/>
  <c r="Z9" i="5"/>
  <c r="Z10" i="5" s="1"/>
  <c r="AA9" i="5"/>
  <c r="AA19" i="5" s="1"/>
  <c r="AB9" i="5"/>
  <c r="AB14" i="5" s="1"/>
  <c r="AC9" i="5"/>
  <c r="Y9" i="5"/>
  <c r="Z4" i="5"/>
  <c r="AA4" i="5"/>
  <c r="AB4" i="5"/>
  <c r="AC4" i="5"/>
  <c r="AD4" i="5"/>
  <c r="AE4" i="5"/>
  <c r="AF4" i="5"/>
  <c r="AG4" i="5"/>
  <c r="AH4" i="5"/>
  <c r="Y4" i="5"/>
  <c r="AC19" i="5" l="1"/>
  <c r="AC15" i="5"/>
  <c r="AB20" i="5"/>
  <c r="Z15" i="5"/>
  <c r="Y19" i="5"/>
  <c r="Z20" i="5"/>
  <c r="AA14" i="5"/>
  <c r="Z14" i="5"/>
  <c r="AB10" i="5"/>
  <c r="Y14" i="5"/>
  <c r="AA10" i="5"/>
  <c r="Z19" i="5"/>
  <c r="AC10" i="5"/>
  <c r="AB19" i="5"/>
  <c r="AB15" i="5"/>
  <c r="AC20" i="5"/>
  <c r="AC14" i="5"/>
  <c r="B334" i="1"/>
  <c r="B296" i="1"/>
  <c r="B251" i="1"/>
  <c r="B221" i="1"/>
  <c r="B174" i="1"/>
  <c r="B138" i="1"/>
  <c r="B113" i="1"/>
  <c r="B84" i="1"/>
  <c r="B61" i="1"/>
  <c r="B2" i="1"/>
  <c r="B2" i="3"/>
  <c r="G103" i="4"/>
  <c r="H103" i="4" s="1"/>
  <c r="G101" i="4"/>
  <c r="H101" i="4" s="1"/>
  <c r="G99" i="4"/>
  <c r="H99" i="4" s="1"/>
  <c r="G98" i="4"/>
  <c r="H98" i="4" s="1"/>
  <c r="G78" i="4" l="1"/>
  <c r="K131" i="4" s="1"/>
  <c r="G72" i="4"/>
  <c r="K122" i="4" s="1"/>
  <c r="M46" i="4"/>
  <c r="N46" i="4"/>
  <c r="O46" i="4"/>
  <c r="P46" i="4"/>
  <c r="L46" i="4"/>
  <c r="L39" i="4"/>
  <c r="M39" i="4" s="1"/>
  <c r="L36" i="4"/>
  <c r="M36" i="4" s="1"/>
  <c r="N36" i="4" s="1"/>
  <c r="O36" i="4" s="1"/>
  <c r="P36" i="4" s="1"/>
  <c r="G20" i="4"/>
  <c r="G97" i="4" s="1"/>
  <c r="H97" i="4" s="1"/>
  <c r="G19" i="4"/>
  <c r="G15" i="4"/>
  <c r="G14" i="4"/>
  <c r="G10" i="4"/>
  <c r="G9" i="4"/>
  <c r="G8" i="4"/>
  <c r="K132" i="4" l="1"/>
  <c r="K133" i="4" s="1"/>
  <c r="K130" i="4"/>
  <c r="K129" i="4" s="1"/>
  <c r="K123" i="4"/>
  <c r="K124" i="4" s="1"/>
  <c r="K121" i="4"/>
  <c r="K120" i="4" s="1"/>
  <c r="G21" i="4"/>
  <c r="G22" i="4" s="1"/>
  <c r="G23" i="4" s="1"/>
  <c r="L60" i="4"/>
  <c r="M60" i="4" s="1"/>
  <c r="G16" i="4"/>
  <c r="N39" i="4"/>
  <c r="O39" i="4" s="1"/>
  <c r="G11" i="4"/>
  <c r="K36" i="4"/>
  <c r="J36" i="4" s="1"/>
  <c r="I36" i="4" s="1"/>
  <c r="H36" i="4" s="1"/>
  <c r="G36" i="4" s="1"/>
  <c r="I290" i="1"/>
  <c r="J290" i="1"/>
  <c r="K290" i="1"/>
  <c r="H290" i="1"/>
  <c r="H289" i="1"/>
  <c r="I289" i="1"/>
  <c r="J289" i="1"/>
  <c r="K289" i="1"/>
  <c r="G289" i="1"/>
  <c r="H288" i="1"/>
  <c r="I288" i="1"/>
  <c r="J288" i="1"/>
  <c r="K288" i="1"/>
  <c r="G288" i="1"/>
  <c r="H287" i="1"/>
  <c r="I287" i="1"/>
  <c r="J287" i="1"/>
  <c r="K287" i="1"/>
  <c r="G287" i="1"/>
  <c r="H286" i="1"/>
  <c r="I286" i="1"/>
  <c r="J286" i="1"/>
  <c r="K286" i="1"/>
  <c r="G286" i="1"/>
  <c r="K60" i="4" l="1"/>
  <c r="J60" i="4" s="1"/>
  <c r="I60" i="4" s="1"/>
  <c r="H60" i="4" s="1"/>
  <c r="G60" i="4" s="1"/>
  <c r="L63" i="4"/>
  <c r="N60" i="4"/>
  <c r="M63" i="4"/>
  <c r="G25" i="4"/>
  <c r="N119" i="4" s="1"/>
  <c r="N128" i="4" s="1"/>
  <c r="P39" i="4"/>
  <c r="L355" i="1"/>
  <c r="O119" i="4" l="1"/>
  <c r="M119" i="4"/>
  <c r="M64" i="4"/>
  <c r="L64" i="4"/>
  <c r="O60" i="4"/>
  <c r="N63" i="4"/>
  <c r="N64" i="4" s="1"/>
  <c r="P119" i="4" l="1"/>
  <c r="P128" i="4" s="1"/>
  <c r="O128" i="4"/>
  <c r="L119" i="4"/>
  <c r="L128" i="4" s="1"/>
  <c r="M128" i="4"/>
  <c r="P60" i="4"/>
  <c r="P63" i="4" s="1"/>
  <c r="O63" i="4"/>
  <c r="O64" i="4" s="1"/>
  <c r="M317" i="1"/>
  <c r="N317" i="1"/>
  <c r="O317" i="1"/>
  <c r="P317" i="1"/>
  <c r="L317" i="1"/>
  <c r="P64" i="4" l="1"/>
  <c r="M316" i="1"/>
  <c r="N316" i="1"/>
  <c r="O316" i="1"/>
  <c r="P316" i="1"/>
  <c r="L316" i="1"/>
  <c r="L376" i="1" l="1"/>
  <c r="M376" i="1" s="1"/>
  <c r="N376" i="1" s="1"/>
  <c r="O376" i="1" s="1"/>
  <c r="P376" i="1" s="1"/>
  <c r="L370" i="1"/>
  <c r="M370" i="1" s="1"/>
  <c r="N370" i="1" s="1"/>
  <c r="O370" i="1" s="1"/>
  <c r="P370" i="1" s="1"/>
  <c r="M355" i="1"/>
  <c r="N355" i="1" s="1"/>
  <c r="O355" i="1" s="1"/>
  <c r="P355" i="1" s="1"/>
  <c r="L354" i="1"/>
  <c r="M354" i="1" s="1"/>
  <c r="N354" i="1" s="1"/>
  <c r="O354" i="1" s="1"/>
  <c r="P354" i="1" s="1"/>
  <c r="L348" i="1"/>
  <c r="M348" i="1" s="1"/>
  <c r="N348" i="1" s="1"/>
  <c r="O348" i="1" s="1"/>
  <c r="P348" i="1" s="1"/>
  <c r="L352" i="1"/>
  <c r="M352" i="1" s="1"/>
  <c r="N352" i="1" s="1"/>
  <c r="O352" i="1" s="1"/>
  <c r="P352" i="1" s="1"/>
  <c r="L344" i="1"/>
  <c r="M344" i="1" s="1"/>
  <c r="N344" i="1" s="1"/>
  <c r="O344" i="1" s="1"/>
  <c r="P344" i="1" s="1"/>
  <c r="L353" i="1"/>
  <c r="M353" i="1" s="1"/>
  <c r="N353" i="1" s="1"/>
  <c r="O353" i="1" s="1"/>
  <c r="P353" i="1" s="1"/>
  <c r="L361" i="1"/>
  <c r="M361" i="1" s="1"/>
  <c r="N361" i="1" s="1"/>
  <c r="O361" i="1" s="1"/>
  <c r="P361" i="1" s="1"/>
  <c r="L358" i="1"/>
  <c r="M358" i="1" s="1"/>
  <c r="N358" i="1" s="1"/>
  <c r="O358" i="1" s="1"/>
  <c r="P358" i="1" s="1"/>
  <c r="M328" i="1"/>
  <c r="N328" i="1"/>
  <c r="O328" i="1"/>
  <c r="P328" i="1"/>
  <c r="L328" i="1"/>
  <c r="H383" i="1"/>
  <c r="H384" i="1" s="1"/>
  <c r="I383" i="1"/>
  <c r="I384" i="1" s="1"/>
  <c r="J383" i="1"/>
  <c r="J384" i="1" s="1"/>
  <c r="K383" i="1"/>
  <c r="K384" i="1" s="1"/>
  <c r="G383" i="1"/>
  <c r="G384" i="1" s="1"/>
  <c r="L231" i="1"/>
  <c r="L241" i="1"/>
  <c r="L235" i="1"/>
  <c r="M235" i="1" s="1"/>
  <c r="L281" i="1"/>
  <c r="D120" i="1"/>
  <c r="C131" i="1" s="1"/>
  <c r="H371" i="1"/>
  <c r="I371" i="1"/>
  <c r="J371" i="1"/>
  <c r="K371" i="1"/>
  <c r="G371" i="1"/>
  <c r="K211" i="1"/>
  <c r="L209" i="1" s="1"/>
  <c r="K202" i="1"/>
  <c r="L200" i="1" s="1"/>
  <c r="L204" i="1"/>
  <c r="M204" i="1" s="1"/>
  <c r="N204" i="1" s="1"/>
  <c r="O204" i="1" s="1"/>
  <c r="P204" i="1" s="1"/>
  <c r="L213" i="1"/>
  <c r="M213" i="1" s="1"/>
  <c r="N213" i="1" s="1"/>
  <c r="O213" i="1" s="1"/>
  <c r="P213" i="1" s="1"/>
  <c r="M210" i="1"/>
  <c r="M195" i="1" s="1"/>
  <c r="N210" i="1"/>
  <c r="N195" i="1" s="1"/>
  <c r="O210" i="1"/>
  <c r="O195" i="1" s="1"/>
  <c r="P210" i="1"/>
  <c r="P195" i="1" s="1"/>
  <c r="L210" i="1"/>
  <c r="L195" i="1" s="1"/>
  <c r="L188" i="1"/>
  <c r="M188" i="1" s="1"/>
  <c r="N188" i="1" s="1"/>
  <c r="K186" i="1"/>
  <c r="L184" i="1" s="1"/>
  <c r="P153" i="1"/>
  <c r="P154" i="1"/>
  <c r="P155" i="1"/>
  <c r="P156" i="1"/>
  <c r="P157" i="1"/>
  <c r="P158" i="1"/>
  <c r="O153" i="1"/>
  <c r="O154" i="1"/>
  <c r="O155" i="1"/>
  <c r="O156" i="1"/>
  <c r="O157" i="1"/>
  <c r="O158" i="1"/>
  <c r="N153" i="1"/>
  <c r="N154" i="1"/>
  <c r="N155" i="1"/>
  <c r="N156" i="1"/>
  <c r="N157" i="1"/>
  <c r="N158" i="1"/>
  <c r="M153" i="1"/>
  <c r="M154" i="1"/>
  <c r="M155" i="1"/>
  <c r="M156" i="1"/>
  <c r="M157" i="1"/>
  <c r="M158" i="1"/>
  <c r="L153" i="1"/>
  <c r="L154" i="1"/>
  <c r="L155" i="1"/>
  <c r="L156" i="1"/>
  <c r="L157" i="1"/>
  <c r="L158" i="1"/>
  <c r="M152" i="1"/>
  <c r="N152" i="1"/>
  <c r="O152" i="1"/>
  <c r="P152" i="1"/>
  <c r="L152" i="1"/>
  <c r="K93" i="3"/>
  <c r="J93" i="3"/>
  <c r="I93" i="3"/>
  <c r="H93" i="3"/>
  <c r="G93" i="3"/>
  <c r="K84" i="3"/>
  <c r="J84" i="3"/>
  <c r="I84" i="3"/>
  <c r="H84" i="3"/>
  <c r="G84" i="3"/>
  <c r="H69" i="1"/>
  <c r="I69" i="1"/>
  <c r="J69" i="1"/>
  <c r="K69" i="1"/>
  <c r="G69" i="1"/>
  <c r="M52" i="1"/>
  <c r="N52" i="1"/>
  <c r="O52" i="1"/>
  <c r="P52" i="1"/>
  <c r="L52" i="1"/>
  <c r="L46" i="1"/>
  <c r="M46" i="1" s="1"/>
  <c r="N46" i="1" s="1"/>
  <c r="O46" i="1" s="1"/>
  <c r="P46" i="1" s="1"/>
  <c r="M33" i="2"/>
  <c r="N33" i="2" s="1"/>
  <c r="O33" i="2" s="1"/>
  <c r="P33" i="2" s="1"/>
  <c r="Q33" i="2" s="1"/>
  <c r="C15" i="3"/>
  <c r="C24" i="3" s="1"/>
  <c r="C33" i="3" s="1"/>
  <c r="C42" i="3" s="1"/>
  <c r="C51" i="3" s="1"/>
  <c r="C60" i="3" s="1"/>
  <c r="C69" i="3" s="1"/>
  <c r="C78" i="3" s="1"/>
  <c r="C87" i="3" s="1"/>
  <c r="C96" i="3" s="1"/>
  <c r="C16" i="3"/>
  <c r="C25" i="3" s="1"/>
  <c r="C34" i="3" s="1"/>
  <c r="C43" i="3" s="1"/>
  <c r="C52" i="3" s="1"/>
  <c r="C61" i="3" s="1"/>
  <c r="C70" i="3" s="1"/>
  <c r="C79" i="3" s="1"/>
  <c r="C88" i="3" s="1"/>
  <c r="C97" i="3" s="1"/>
  <c r="C14" i="3"/>
  <c r="C23" i="3" s="1"/>
  <c r="C32" i="3" s="1"/>
  <c r="C41" i="3" s="1"/>
  <c r="C50" i="3" s="1"/>
  <c r="C59" i="3" s="1"/>
  <c r="C68" i="3" s="1"/>
  <c r="C77" i="3" s="1"/>
  <c r="C86" i="3" s="1"/>
  <c r="C95" i="3" s="1"/>
  <c r="I167" i="1"/>
  <c r="J167" i="1"/>
  <c r="K167" i="1"/>
  <c r="H167" i="1"/>
  <c r="I166" i="1"/>
  <c r="J166" i="1"/>
  <c r="K166" i="1"/>
  <c r="H166" i="1"/>
  <c r="I165" i="1"/>
  <c r="J165" i="1"/>
  <c r="K165" i="1"/>
  <c r="H165" i="1"/>
  <c r="I164" i="1"/>
  <c r="J164" i="1"/>
  <c r="K164" i="1"/>
  <c r="H164" i="1"/>
  <c r="I163" i="1"/>
  <c r="J163" i="1"/>
  <c r="K163" i="1"/>
  <c r="H163" i="1"/>
  <c r="I162" i="1"/>
  <c r="J162" i="1"/>
  <c r="K162" i="1"/>
  <c r="H162" i="1"/>
  <c r="I161" i="1"/>
  <c r="J161" i="1"/>
  <c r="K161" i="1"/>
  <c r="H161" i="1"/>
  <c r="G75" i="3"/>
  <c r="K75" i="3"/>
  <c r="J75" i="3"/>
  <c r="I75" i="3"/>
  <c r="H75" i="3"/>
  <c r="K66" i="3"/>
  <c r="J66" i="3"/>
  <c r="I66" i="3"/>
  <c r="H66" i="3"/>
  <c r="G66" i="3"/>
  <c r="K57" i="3"/>
  <c r="P31" i="1" s="1"/>
  <c r="J57" i="3"/>
  <c r="O31" i="1" s="1"/>
  <c r="I57" i="3"/>
  <c r="N31" i="1" s="1"/>
  <c r="H57" i="3"/>
  <c r="M31" i="1" s="1"/>
  <c r="G57" i="3"/>
  <c r="L31" i="1" s="1"/>
  <c r="K48" i="3"/>
  <c r="P19" i="1" s="1"/>
  <c r="J48" i="3"/>
  <c r="O19" i="1" s="1"/>
  <c r="I48" i="3"/>
  <c r="N19" i="1" s="1"/>
  <c r="H48" i="3"/>
  <c r="M19" i="1" s="1"/>
  <c r="G48" i="3"/>
  <c r="L19" i="1" s="1"/>
  <c r="K39" i="3"/>
  <c r="P24" i="1" s="1"/>
  <c r="J39" i="3"/>
  <c r="O24" i="1" s="1"/>
  <c r="I39" i="3"/>
  <c r="N24" i="1" s="1"/>
  <c r="H39" i="3"/>
  <c r="M24" i="1" s="1"/>
  <c r="G39" i="3"/>
  <c r="L24" i="1" s="1"/>
  <c r="K30" i="3"/>
  <c r="P12" i="1" s="1"/>
  <c r="J30" i="3"/>
  <c r="O12" i="1" s="1"/>
  <c r="I30" i="3"/>
  <c r="N12" i="1" s="1"/>
  <c r="H30" i="3"/>
  <c r="M12" i="1" s="1"/>
  <c r="G30" i="3"/>
  <c r="L12" i="1" s="1"/>
  <c r="K21" i="3"/>
  <c r="J21" i="3"/>
  <c r="I21" i="3"/>
  <c r="H21" i="3"/>
  <c r="G21" i="3"/>
  <c r="K12" i="3"/>
  <c r="J12" i="3"/>
  <c r="I12" i="3"/>
  <c r="H12" i="3"/>
  <c r="G12" i="3"/>
  <c r="H7" i="3"/>
  <c r="I7" i="3" s="1"/>
  <c r="J7" i="3" s="1"/>
  <c r="K7" i="3" s="1"/>
  <c r="H74" i="1"/>
  <c r="I74" i="1"/>
  <c r="J74" i="1"/>
  <c r="K74" i="1"/>
  <c r="G74" i="1"/>
  <c r="K24" i="1"/>
  <c r="H30" i="1"/>
  <c r="I30" i="1"/>
  <c r="J30" i="1"/>
  <c r="K30" i="1"/>
  <c r="H29" i="1"/>
  <c r="I29" i="1"/>
  <c r="J29" i="1"/>
  <c r="K29" i="1"/>
  <c r="H28" i="1"/>
  <c r="I28" i="1"/>
  <c r="J28" i="1"/>
  <c r="K28" i="1"/>
  <c r="H27" i="1"/>
  <c r="I27" i="1"/>
  <c r="J27" i="1"/>
  <c r="K27" i="1"/>
  <c r="G30" i="1"/>
  <c r="G29" i="1"/>
  <c r="G28" i="1"/>
  <c r="G27" i="1"/>
  <c r="H25" i="1"/>
  <c r="I25" i="1"/>
  <c r="J25" i="1"/>
  <c r="K25" i="1"/>
  <c r="G25" i="1"/>
  <c r="H44" i="1"/>
  <c r="H48" i="1" s="1"/>
  <c r="H68" i="1" s="1"/>
  <c r="I44" i="1"/>
  <c r="I48" i="1" s="1"/>
  <c r="I68" i="1" s="1"/>
  <c r="J44" i="1"/>
  <c r="J48" i="1" s="1"/>
  <c r="J68" i="1" s="1"/>
  <c r="K44" i="1"/>
  <c r="K48" i="1" s="1"/>
  <c r="K68" i="1" s="1"/>
  <c r="G44" i="1"/>
  <c r="G48" i="1" s="1"/>
  <c r="G68" i="1" s="1"/>
  <c r="H19" i="1"/>
  <c r="I19" i="1"/>
  <c r="J19" i="1"/>
  <c r="K19" i="1"/>
  <c r="G19" i="1"/>
  <c r="H324" i="1"/>
  <c r="I324" i="1"/>
  <c r="J324" i="1"/>
  <c r="K324" i="1"/>
  <c r="G324" i="1"/>
  <c r="H312" i="1"/>
  <c r="I312" i="1"/>
  <c r="J312" i="1"/>
  <c r="K312" i="1"/>
  <c r="G312" i="1"/>
  <c r="H265" i="1"/>
  <c r="H149" i="1" s="1"/>
  <c r="I265" i="1"/>
  <c r="I149" i="1" s="1"/>
  <c r="J265" i="1"/>
  <c r="J149" i="1" s="1"/>
  <c r="K265" i="1"/>
  <c r="K149" i="1" s="1"/>
  <c r="G265" i="1"/>
  <c r="H261" i="1"/>
  <c r="H148" i="1" s="1"/>
  <c r="I261" i="1"/>
  <c r="I148" i="1" s="1"/>
  <c r="J261" i="1"/>
  <c r="J148" i="1" s="1"/>
  <c r="K261" i="1"/>
  <c r="G261" i="1"/>
  <c r="H378" i="1"/>
  <c r="I378" i="1"/>
  <c r="J378" i="1"/>
  <c r="K378" i="1"/>
  <c r="G378" i="1"/>
  <c r="H362" i="1"/>
  <c r="I362" i="1"/>
  <c r="J362" i="1"/>
  <c r="K362" i="1"/>
  <c r="G362" i="1"/>
  <c r="H349" i="1"/>
  <c r="I349" i="1"/>
  <c r="G349" i="1"/>
  <c r="J318" i="1"/>
  <c r="K318" i="1"/>
  <c r="H318" i="1"/>
  <c r="I318" i="1"/>
  <c r="G318" i="1"/>
  <c r="F92" i="1"/>
  <c r="F91" i="1"/>
  <c r="L95" i="1" s="1"/>
  <c r="L7" i="1"/>
  <c r="K7" i="1" s="1"/>
  <c r="J7" i="1" s="1"/>
  <c r="I7" i="1" s="1"/>
  <c r="H7" i="1" s="1"/>
  <c r="G7" i="1" s="1"/>
  <c r="G66" i="1" s="1"/>
  <c r="M281" i="1" l="1"/>
  <c r="L357" i="1"/>
  <c r="M357" i="1" s="1"/>
  <c r="L309" i="1"/>
  <c r="M231" i="1"/>
  <c r="N235" i="1"/>
  <c r="O235" i="1" s="1"/>
  <c r="P235" i="1" s="1"/>
  <c r="K267" i="1"/>
  <c r="K272" i="1" s="1"/>
  <c r="K276" i="1" s="1"/>
  <c r="K279" i="1" s="1"/>
  <c r="K282" i="1" s="1"/>
  <c r="L189" i="1"/>
  <c r="L274" i="1" s="1"/>
  <c r="L211" i="1"/>
  <c r="L214" i="1"/>
  <c r="L205" i="1"/>
  <c r="O188" i="1"/>
  <c r="P1" i="1"/>
  <c r="P83" i="1" s="1"/>
  <c r="M95" i="1"/>
  <c r="N95" i="1" s="1"/>
  <c r="O95" i="1" s="1"/>
  <c r="P95" i="1" s="1"/>
  <c r="M37" i="1"/>
  <c r="N37" i="1"/>
  <c r="N44" i="1"/>
  <c r="M44" i="1"/>
  <c r="L37" i="1"/>
  <c r="O37" i="1"/>
  <c r="L44" i="1"/>
  <c r="P37" i="1"/>
  <c r="O44" i="1"/>
  <c r="P44" i="1"/>
  <c r="M13" i="1"/>
  <c r="I168" i="1"/>
  <c r="H168" i="1"/>
  <c r="I327" i="1"/>
  <c r="K168" i="1"/>
  <c r="J168" i="1"/>
  <c r="N13" i="1"/>
  <c r="K148" i="1"/>
  <c r="O13" i="1"/>
  <c r="L13" i="1"/>
  <c r="P13" i="1"/>
  <c r="K31" i="1"/>
  <c r="I31" i="1"/>
  <c r="J267" i="1"/>
  <c r="J272" i="1" s="1"/>
  <c r="J276" i="1" s="1"/>
  <c r="J279" i="1" s="1"/>
  <c r="J282" i="1" s="1"/>
  <c r="K52" i="1"/>
  <c r="I267" i="1"/>
  <c r="I272" i="1" s="1"/>
  <c r="I276" i="1" s="1"/>
  <c r="I279" i="1" s="1"/>
  <c r="I282" i="1" s="1"/>
  <c r="K327" i="1"/>
  <c r="G327" i="1"/>
  <c r="G330" i="1" s="1"/>
  <c r="H329" i="1" s="1"/>
  <c r="H52" i="1"/>
  <c r="H55" i="1"/>
  <c r="H70" i="1" s="1"/>
  <c r="G52" i="1"/>
  <c r="G55" i="1"/>
  <c r="G70" i="1" s="1"/>
  <c r="J52" i="1"/>
  <c r="J55" i="1"/>
  <c r="J70" i="1" s="1"/>
  <c r="G267" i="1"/>
  <c r="G272" i="1" s="1"/>
  <c r="G276" i="1" s="1"/>
  <c r="G279" i="1" s="1"/>
  <c r="G282" i="1" s="1"/>
  <c r="G31" i="1"/>
  <c r="J31" i="1"/>
  <c r="H31" i="1"/>
  <c r="H267" i="1"/>
  <c r="H272" i="1" s="1"/>
  <c r="H276" i="1" s="1"/>
  <c r="H279" i="1" s="1"/>
  <c r="H282" i="1" s="1"/>
  <c r="I380" i="1"/>
  <c r="I387" i="1" s="1"/>
  <c r="H327" i="1"/>
  <c r="J327" i="1"/>
  <c r="H364" i="1"/>
  <c r="K380" i="1"/>
  <c r="K387" i="1" s="1"/>
  <c r="G364" i="1"/>
  <c r="G380" i="1"/>
  <c r="G387" i="1" s="1"/>
  <c r="I364" i="1"/>
  <c r="J380" i="1"/>
  <c r="J387" i="1" s="1"/>
  <c r="H380" i="1"/>
  <c r="H387" i="1" s="1"/>
  <c r="L118" i="1"/>
  <c r="C128" i="1"/>
  <c r="G143" i="1"/>
  <c r="L143" i="1"/>
  <c r="K143" i="1"/>
  <c r="J143" i="1"/>
  <c r="I143" i="1"/>
  <c r="H143" i="1"/>
  <c r="J339" i="1"/>
  <c r="G339" i="1"/>
  <c r="H339" i="1"/>
  <c r="I339" i="1"/>
  <c r="K339" i="1"/>
  <c r="L339" i="1"/>
  <c r="K301" i="1"/>
  <c r="G301" i="1"/>
  <c r="H301" i="1"/>
  <c r="I301" i="1"/>
  <c r="J301" i="1"/>
  <c r="L301" i="1"/>
  <c r="H256" i="1"/>
  <c r="G256" i="1"/>
  <c r="I256" i="1"/>
  <c r="K256" i="1"/>
  <c r="J256" i="1"/>
  <c r="K226" i="1"/>
  <c r="L256" i="1"/>
  <c r="L226" i="1"/>
  <c r="K179" i="1"/>
  <c r="L179" i="1"/>
  <c r="G89" i="1"/>
  <c r="H89" i="1"/>
  <c r="I89" i="1"/>
  <c r="J89" i="1"/>
  <c r="K89" i="1"/>
  <c r="L89" i="1"/>
  <c r="C100" i="1" s="1"/>
  <c r="C101" i="1" s="1"/>
  <c r="C102" i="1" s="1"/>
  <c r="L66" i="1"/>
  <c r="K66" i="1"/>
  <c r="J66" i="1"/>
  <c r="I66" i="1"/>
  <c r="H66" i="1"/>
  <c r="M7" i="1"/>
  <c r="N281" i="1" l="1"/>
  <c r="M309" i="1"/>
  <c r="M209" i="1"/>
  <c r="M211" i="1" s="1"/>
  <c r="L373" i="1"/>
  <c r="J170" i="1"/>
  <c r="K170" i="1"/>
  <c r="I170" i="1"/>
  <c r="N231" i="1"/>
  <c r="L275" i="1"/>
  <c r="L217" i="1"/>
  <c r="P188" i="1"/>
  <c r="P60" i="1"/>
  <c r="P295" i="1"/>
  <c r="P250" i="1"/>
  <c r="P137" i="1"/>
  <c r="P111" i="1"/>
  <c r="P333" i="1"/>
  <c r="P220" i="1"/>
  <c r="P173" i="1"/>
  <c r="N25" i="1"/>
  <c r="N38" i="1" s="1"/>
  <c r="N48" i="1" s="1"/>
  <c r="M25" i="1"/>
  <c r="M38" i="1" s="1"/>
  <c r="M48" i="1" s="1"/>
  <c r="P25" i="1"/>
  <c r="P38" i="1" s="1"/>
  <c r="P48" i="1" s="1"/>
  <c r="O25" i="1"/>
  <c r="O38" i="1" s="1"/>
  <c r="O48" i="1" s="1"/>
  <c r="L25" i="1"/>
  <c r="L38" i="1" s="1"/>
  <c r="L48" i="1" s="1"/>
  <c r="H330" i="1"/>
  <c r="I329" i="1" s="1"/>
  <c r="I330" i="1" s="1"/>
  <c r="J329" i="1" s="1"/>
  <c r="J330" i="1" s="1"/>
  <c r="K329" i="1" s="1"/>
  <c r="K330" i="1" s="1"/>
  <c r="L329" i="1" s="1"/>
  <c r="H389" i="1"/>
  <c r="K55" i="1"/>
  <c r="K70" i="1" s="1"/>
  <c r="I55" i="1"/>
  <c r="I70" i="1" s="1"/>
  <c r="I52" i="1"/>
  <c r="I389" i="1"/>
  <c r="G389" i="1"/>
  <c r="M143" i="1"/>
  <c r="M145" i="1" s="1"/>
  <c r="M118" i="1"/>
  <c r="I145" i="1"/>
  <c r="H145" i="1"/>
  <c r="K145" i="1"/>
  <c r="L145" i="1"/>
  <c r="J145" i="1"/>
  <c r="C103" i="1"/>
  <c r="C104" i="1" s="1"/>
  <c r="M301" i="1"/>
  <c r="M339" i="1"/>
  <c r="M179" i="1"/>
  <c r="M226" i="1"/>
  <c r="M256" i="1"/>
  <c r="M89" i="1"/>
  <c r="N7" i="1"/>
  <c r="M66" i="1"/>
  <c r="O281" i="1" l="1"/>
  <c r="N309" i="1"/>
  <c r="N357" i="1"/>
  <c r="O357" i="1" s="1"/>
  <c r="M214" i="1"/>
  <c r="N209" i="1"/>
  <c r="M373" i="1"/>
  <c r="O231" i="1"/>
  <c r="P68" i="1"/>
  <c r="P72" i="1" s="1"/>
  <c r="P263" i="1" s="1"/>
  <c r="P259" i="1"/>
  <c r="M68" i="1"/>
  <c r="M72" i="1" s="1"/>
  <c r="M263" i="1" s="1"/>
  <c r="M259" i="1"/>
  <c r="L68" i="1"/>
  <c r="L72" i="1" s="1"/>
  <c r="L263" i="1" s="1"/>
  <c r="L259" i="1"/>
  <c r="N68" i="1"/>
  <c r="N72" i="1" s="1"/>
  <c r="N263" i="1" s="1"/>
  <c r="N259" i="1"/>
  <c r="O68" i="1"/>
  <c r="O72" i="1" s="1"/>
  <c r="O263" i="1" s="1"/>
  <c r="O259" i="1"/>
  <c r="O53" i="1"/>
  <c r="O260" i="1" s="1"/>
  <c r="P53" i="1"/>
  <c r="P260" i="1" s="1"/>
  <c r="N53" i="1"/>
  <c r="N260" i="1" s="1"/>
  <c r="L53" i="1"/>
  <c r="L260" i="1" s="1"/>
  <c r="M53" i="1"/>
  <c r="M260" i="1" s="1"/>
  <c r="K158" i="1"/>
  <c r="K155" i="1"/>
  <c r="K156" i="1"/>
  <c r="K157" i="1"/>
  <c r="K153" i="1"/>
  <c r="K152" i="1"/>
  <c r="K154" i="1"/>
  <c r="J158" i="1"/>
  <c r="J155" i="1"/>
  <c r="J157" i="1"/>
  <c r="J153" i="1"/>
  <c r="J152" i="1"/>
  <c r="J156" i="1"/>
  <c r="J154" i="1"/>
  <c r="I158" i="1"/>
  <c r="I156" i="1"/>
  <c r="I154" i="1"/>
  <c r="I157" i="1"/>
  <c r="I153" i="1"/>
  <c r="I152" i="1"/>
  <c r="I155" i="1"/>
  <c r="H158" i="1"/>
  <c r="H155" i="1"/>
  <c r="H152" i="1"/>
  <c r="H153" i="1"/>
  <c r="H154" i="1"/>
  <c r="H157" i="1"/>
  <c r="H156" i="1"/>
  <c r="N143" i="1"/>
  <c r="N145" i="1" s="1"/>
  <c r="N118" i="1"/>
  <c r="N301" i="1"/>
  <c r="N339" i="1"/>
  <c r="N179" i="1"/>
  <c r="N226" i="1"/>
  <c r="N256" i="1"/>
  <c r="N89" i="1"/>
  <c r="O7" i="1"/>
  <c r="N66" i="1"/>
  <c r="P281" i="1" l="1"/>
  <c r="P309" i="1" s="1"/>
  <c r="O309" i="1"/>
  <c r="N211" i="1"/>
  <c r="N214" i="1"/>
  <c r="P231" i="1"/>
  <c r="M261" i="1"/>
  <c r="O261" i="1"/>
  <c r="AG9" i="5" s="1"/>
  <c r="P261" i="1"/>
  <c r="AH9" i="5" s="1"/>
  <c r="AH10" i="5" s="1"/>
  <c r="N261" i="1"/>
  <c r="AF9" i="5" s="1"/>
  <c r="L261" i="1"/>
  <c r="AD9" i="5" s="1"/>
  <c r="AD10" i="5" s="1"/>
  <c r="L55" i="1"/>
  <c r="L359" i="1" s="1"/>
  <c r="L69" i="1"/>
  <c r="L73" i="1" s="1"/>
  <c r="N55" i="1"/>
  <c r="N359" i="1" s="1"/>
  <c r="N69" i="1"/>
  <c r="N73" i="1" s="1"/>
  <c r="O55" i="1"/>
  <c r="O359" i="1" s="1"/>
  <c r="O69" i="1"/>
  <c r="O73" i="1" s="1"/>
  <c r="P55" i="1"/>
  <c r="P359" i="1" s="1"/>
  <c r="P69" i="1"/>
  <c r="P73" i="1" s="1"/>
  <c r="M55" i="1"/>
  <c r="M359" i="1" s="1"/>
  <c r="M69" i="1"/>
  <c r="M73" i="1" s="1"/>
  <c r="O143" i="1"/>
  <c r="O145" i="1" s="1"/>
  <c r="O118" i="1"/>
  <c r="O301" i="1"/>
  <c r="O339" i="1"/>
  <c r="O179" i="1"/>
  <c r="O226" i="1"/>
  <c r="O256" i="1"/>
  <c r="O89" i="1"/>
  <c r="P7" i="1"/>
  <c r="O66" i="1"/>
  <c r="M307" i="1" l="1"/>
  <c r="AE9" i="5"/>
  <c r="AE10" i="5" s="1"/>
  <c r="AG10" i="5"/>
  <c r="P357" i="1"/>
  <c r="L315" i="1"/>
  <c r="O209" i="1"/>
  <c r="N373" i="1"/>
  <c r="M315" i="1"/>
  <c r="O315" i="1"/>
  <c r="O307" i="1"/>
  <c r="L307" i="1"/>
  <c r="L384" i="1" s="1"/>
  <c r="N307" i="1"/>
  <c r="N315" i="1"/>
  <c r="P307" i="1"/>
  <c r="P315" i="1"/>
  <c r="M74" i="1"/>
  <c r="M149" i="1" s="1"/>
  <c r="M162" i="1" s="1"/>
  <c r="M345" i="1" s="1"/>
  <c r="M264" i="1"/>
  <c r="M265" i="1" s="1"/>
  <c r="M267" i="1" s="1"/>
  <c r="P74" i="1"/>
  <c r="P149" i="1" s="1"/>
  <c r="P264" i="1"/>
  <c r="P265" i="1" s="1"/>
  <c r="P267" i="1" s="1"/>
  <c r="O74" i="1"/>
  <c r="O149" i="1" s="1"/>
  <c r="O166" i="1" s="1"/>
  <c r="O368" i="1" s="1"/>
  <c r="O264" i="1"/>
  <c r="O265" i="1" s="1"/>
  <c r="O267" i="1" s="1"/>
  <c r="L74" i="1"/>
  <c r="L149" i="1" s="1"/>
  <c r="L162" i="1" s="1"/>
  <c r="L345" i="1" s="1"/>
  <c r="L264" i="1"/>
  <c r="L265" i="1" s="1"/>
  <c r="L267" i="1" s="1"/>
  <c r="N74" i="1"/>
  <c r="N149" i="1" s="1"/>
  <c r="N165" i="1" s="1"/>
  <c r="N367" i="1" s="1"/>
  <c r="N264" i="1"/>
  <c r="N265" i="1" s="1"/>
  <c r="N267" i="1" s="1"/>
  <c r="P70" i="1"/>
  <c r="P314" i="1"/>
  <c r="M70" i="1"/>
  <c r="M314" i="1"/>
  <c r="N70" i="1"/>
  <c r="N314" i="1"/>
  <c r="O70" i="1"/>
  <c r="O314" i="1"/>
  <c r="L70" i="1"/>
  <c r="L314" i="1"/>
  <c r="P143" i="1"/>
  <c r="P145" i="1" s="1"/>
  <c r="P118" i="1"/>
  <c r="P301" i="1"/>
  <c r="P339" i="1"/>
  <c r="P256" i="1"/>
  <c r="P226" i="1"/>
  <c r="P179" i="1"/>
  <c r="P66" i="1"/>
  <c r="P89" i="1"/>
  <c r="M384" i="1" l="1"/>
  <c r="N384" i="1" s="1"/>
  <c r="O384" i="1" s="1"/>
  <c r="P384" i="1" s="1"/>
  <c r="AF10" i="5"/>
  <c r="N44" i="4"/>
  <c r="AF25" i="5"/>
  <c r="O45" i="4"/>
  <c r="AG26" i="5"/>
  <c r="L45" i="4"/>
  <c r="AD26" i="5"/>
  <c r="P45" i="4"/>
  <c r="AH26" i="5"/>
  <c r="O44" i="4"/>
  <c r="AG25" i="5"/>
  <c r="M45" i="4"/>
  <c r="AE26" i="5"/>
  <c r="M44" i="4"/>
  <c r="AE25" i="5"/>
  <c r="P44" i="4"/>
  <c r="AH25" i="5"/>
  <c r="N45" i="4"/>
  <c r="AF26" i="5"/>
  <c r="L44" i="4"/>
  <c r="AD25" i="5"/>
  <c r="O211" i="1"/>
  <c r="O214" i="1"/>
  <c r="M318" i="1"/>
  <c r="M194" i="1" s="1"/>
  <c r="L318" i="1"/>
  <c r="L194" i="1" s="1"/>
  <c r="L166" i="1"/>
  <c r="L368" i="1" s="1"/>
  <c r="L165" i="1"/>
  <c r="L367" i="1" s="1"/>
  <c r="O318" i="1"/>
  <c r="O194" i="1" s="1"/>
  <c r="O162" i="1"/>
  <c r="O345" i="1" s="1"/>
  <c r="O165" i="1"/>
  <c r="O367" i="1" s="1"/>
  <c r="P318" i="1"/>
  <c r="P194" i="1" s="1"/>
  <c r="N318" i="1"/>
  <c r="N194" i="1" s="1"/>
  <c r="P166" i="1"/>
  <c r="P368" i="1" s="1"/>
  <c r="N162" i="1"/>
  <c r="N345" i="1" s="1"/>
  <c r="M165" i="1"/>
  <c r="M367" i="1" s="1"/>
  <c r="M166" i="1"/>
  <c r="M368" i="1" s="1"/>
  <c r="N166" i="1"/>
  <c r="N368" i="1" s="1"/>
  <c r="M76" i="1"/>
  <c r="M269" i="1" s="1"/>
  <c r="M77" i="1"/>
  <c r="M270" i="1" s="1"/>
  <c r="M148" i="1"/>
  <c r="O76" i="1"/>
  <c r="O269" i="1" s="1"/>
  <c r="O77" i="1"/>
  <c r="O270" i="1" s="1"/>
  <c r="O148" i="1"/>
  <c r="P76" i="1"/>
  <c r="P269" i="1" s="1"/>
  <c r="P77" i="1"/>
  <c r="P270" i="1" s="1"/>
  <c r="P148" i="1"/>
  <c r="N76" i="1"/>
  <c r="N269" i="1" s="1"/>
  <c r="N77" i="1"/>
  <c r="N270" i="1" s="1"/>
  <c r="N148" i="1"/>
  <c r="P162" i="1"/>
  <c r="P345" i="1" s="1"/>
  <c r="L76" i="1"/>
  <c r="L269" i="1" s="1"/>
  <c r="L148" i="1"/>
  <c r="L77" i="1"/>
  <c r="L270" i="1" s="1"/>
  <c r="P165" i="1"/>
  <c r="P367" i="1" s="1"/>
  <c r="D100" i="1" a="1"/>
  <c r="P272" i="1" l="1"/>
  <c r="P288" i="1" s="1"/>
  <c r="P209" i="1"/>
  <c r="O373" i="1"/>
  <c r="O272" i="1"/>
  <c r="O288" i="1" s="1"/>
  <c r="L272" i="1"/>
  <c r="L288" i="1" s="1"/>
  <c r="M272" i="1"/>
  <c r="M288" i="1" s="1"/>
  <c r="N272" i="1"/>
  <c r="N288" i="1" s="1"/>
  <c r="O161" i="1"/>
  <c r="O343" i="1" s="1"/>
  <c r="O163" i="1"/>
  <c r="O346" i="1" s="1"/>
  <c r="O167" i="1"/>
  <c r="O369" i="1" s="1"/>
  <c r="O375" i="1" s="1"/>
  <c r="O164" i="1"/>
  <c r="O347" i="1" s="1"/>
  <c r="N167" i="1"/>
  <c r="N369" i="1" s="1"/>
  <c r="N375" i="1" s="1"/>
  <c r="N164" i="1"/>
  <c r="N347" i="1" s="1"/>
  <c r="N163" i="1"/>
  <c r="N346" i="1" s="1"/>
  <c r="N161" i="1"/>
  <c r="N343" i="1" s="1"/>
  <c r="L161" i="1"/>
  <c r="L343" i="1" s="1"/>
  <c r="L163" i="1"/>
  <c r="L346" i="1" s="1"/>
  <c r="L167" i="1"/>
  <c r="L369" i="1" s="1"/>
  <c r="L375" i="1" s="1"/>
  <c r="L311" i="1" s="1"/>
  <c r="L164" i="1"/>
  <c r="L347" i="1" s="1"/>
  <c r="M163" i="1"/>
  <c r="M346" i="1" s="1"/>
  <c r="M167" i="1"/>
  <c r="M369" i="1" s="1"/>
  <c r="M375" i="1" s="1"/>
  <c r="M164" i="1"/>
  <c r="M347" i="1" s="1"/>
  <c r="M161" i="1"/>
  <c r="M343" i="1" s="1"/>
  <c r="P161" i="1"/>
  <c r="P343" i="1" s="1"/>
  <c r="P167" i="1"/>
  <c r="P369" i="1" s="1"/>
  <c r="P375" i="1" s="1"/>
  <c r="P164" i="1"/>
  <c r="P347" i="1" s="1"/>
  <c r="P163" i="1"/>
  <c r="P346" i="1" s="1"/>
  <c r="D103" i="1"/>
  <c r="D101" i="1"/>
  <c r="D100" i="1"/>
  <c r="D102" i="1"/>
  <c r="D104" i="1"/>
  <c r="P104" i="1" s="1"/>
  <c r="N38" i="4" l="1"/>
  <c r="N40" i="4" s="1"/>
  <c r="L276" i="1"/>
  <c r="L123" i="1" s="1"/>
  <c r="L128" i="1" s="1"/>
  <c r="L38" i="4"/>
  <c r="L40" i="4" s="1"/>
  <c r="O38" i="4"/>
  <c r="O40" i="4" s="1"/>
  <c r="M38" i="4"/>
  <c r="M40" i="4" s="1"/>
  <c r="P38" i="4"/>
  <c r="P40" i="4" s="1"/>
  <c r="N311" i="1"/>
  <c r="M311" i="1"/>
  <c r="O311" i="1"/>
  <c r="P311" i="1"/>
  <c r="P211" i="1"/>
  <c r="P373" i="1" s="1"/>
  <c r="P214" i="1"/>
  <c r="N168" i="1"/>
  <c r="L168" i="1"/>
  <c r="L170" i="1" s="1"/>
  <c r="L308" i="1" s="1"/>
  <c r="L43" i="4" s="1"/>
  <c r="M168" i="1"/>
  <c r="N102" i="1"/>
  <c r="O102" i="1" s="1"/>
  <c r="P102" i="1" s="1"/>
  <c r="P168" i="1"/>
  <c r="M101" i="1"/>
  <c r="N101" i="1" s="1"/>
  <c r="L100" i="1"/>
  <c r="L107" i="1" s="1"/>
  <c r="O103" i="1"/>
  <c r="P103" i="1" s="1"/>
  <c r="O168" i="1"/>
  <c r="L125" i="1" l="1"/>
  <c r="L126" i="1" s="1"/>
  <c r="L131" i="1" s="1"/>
  <c r="L132" i="1" s="1"/>
  <c r="L305" i="1"/>
  <c r="L360" i="1"/>
  <c r="M170" i="1"/>
  <c r="M308" i="1" s="1"/>
  <c r="M43" i="4" s="1"/>
  <c r="N170" i="1"/>
  <c r="N308" i="1" s="1"/>
  <c r="N43" i="4" s="1"/>
  <c r="O101" i="1"/>
  <c r="P101" i="1" s="1"/>
  <c r="P170" i="1"/>
  <c r="P308" i="1" s="1"/>
  <c r="P43" i="4" s="1"/>
  <c r="O170" i="1"/>
  <c r="O308" i="1" s="1"/>
  <c r="O43" i="4" s="1"/>
  <c r="M100" i="1"/>
  <c r="M107" i="1" s="1"/>
  <c r="M305" i="1" s="1"/>
  <c r="L42" i="4" l="1"/>
  <c r="L47" i="4" s="1"/>
  <c r="L286" i="1"/>
  <c r="L287" i="1" s="1"/>
  <c r="M42" i="4"/>
  <c r="M47" i="4" s="1"/>
  <c r="AE27" i="5" s="1"/>
  <c r="M286" i="1"/>
  <c r="M287" i="1" s="1"/>
  <c r="L374" i="1"/>
  <c r="L378" i="1" s="1"/>
  <c r="L306" i="1"/>
  <c r="M360" i="1"/>
  <c r="L362" i="1"/>
  <c r="L133" i="1"/>
  <c r="L278" i="1" s="1"/>
  <c r="L279" i="1" s="1"/>
  <c r="L282" i="1" s="1"/>
  <c r="N100" i="1"/>
  <c r="N107" i="1" s="1"/>
  <c r="N305" i="1" s="1"/>
  <c r="AD18" i="5" l="1"/>
  <c r="AD20" i="5" s="1"/>
  <c r="L289" i="1"/>
  <c r="L62" i="4"/>
  <c r="L65" i="4" s="1"/>
  <c r="AD27" i="5"/>
  <c r="AE13" i="5"/>
  <c r="AD13" i="5"/>
  <c r="N42" i="4"/>
  <c r="N47" i="4" s="1"/>
  <c r="AF27" i="5" s="1"/>
  <c r="N286" i="1"/>
  <c r="N287" i="1" s="1"/>
  <c r="M48" i="4"/>
  <c r="M62" i="4"/>
  <c r="M65" i="4" s="1"/>
  <c r="N360" i="1"/>
  <c r="M362" i="1"/>
  <c r="L304" i="1"/>
  <c r="L236" i="1"/>
  <c r="L232" i="1" s="1"/>
  <c r="O100" i="1"/>
  <c r="O107" i="1" s="1"/>
  <c r="O305" i="1" s="1"/>
  <c r="AD19" i="5" l="1"/>
  <c r="AD14" i="5"/>
  <c r="AD15" i="5"/>
  <c r="AE14" i="5"/>
  <c r="AE15" i="5"/>
  <c r="AF13" i="5"/>
  <c r="O42" i="4"/>
  <c r="O47" i="4" s="1"/>
  <c r="AG27" i="5" s="1"/>
  <c r="O286" i="1"/>
  <c r="O287" i="1" s="1"/>
  <c r="N48" i="4"/>
  <c r="N62" i="4"/>
  <c r="L312" i="1"/>
  <c r="O360" i="1"/>
  <c r="N362" i="1"/>
  <c r="L233" i="1"/>
  <c r="L237" i="1"/>
  <c r="L242" i="1"/>
  <c r="P100" i="1"/>
  <c r="P107" i="1" s="1"/>
  <c r="P305" i="1" s="1"/>
  <c r="L193" i="1" l="1"/>
  <c r="AD24" i="5"/>
  <c r="AG13" i="5"/>
  <c r="AF15" i="5"/>
  <c r="AF14" i="5"/>
  <c r="O62" i="4"/>
  <c r="O48" i="4"/>
  <c r="N65" i="4"/>
  <c r="P42" i="4"/>
  <c r="P47" i="4" s="1"/>
  <c r="AH27" i="5" s="1"/>
  <c r="P286" i="1"/>
  <c r="P360" i="1"/>
  <c r="P362" i="1" s="1"/>
  <c r="O362" i="1"/>
  <c r="L320" i="1"/>
  <c r="L197" i="1"/>
  <c r="L321" i="1"/>
  <c r="L383" i="1"/>
  <c r="L196" i="1"/>
  <c r="L243" i="1"/>
  <c r="L244" i="1" s="1"/>
  <c r="AH13" i="5" l="1"/>
  <c r="AH15" i="5" s="1"/>
  <c r="P287" i="1"/>
  <c r="AG15" i="5"/>
  <c r="AG14" i="5"/>
  <c r="O65" i="4"/>
  <c r="G79" i="4"/>
  <c r="G80" i="4" s="1"/>
  <c r="G81" i="4" s="1"/>
  <c r="H95" i="4" s="1"/>
  <c r="P48" i="4"/>
  <c r="P62" i="4"/>
  <c r="L132" i="4" s="1"/>
  <c r="L198" i="1"/>
  <c r="L201" i="1" s="1"/>
  <c r="M241" i="1"/>
  <c r="L382" i="1"/>
  <c r="L385" i="1" s="1"/>
  <c r="L290" i="1" s="1"/>
  <c r="AH14" i="5" l="1"/>
  <c r="N131" i="4"/>
  <c r="O123" i="4"/>
  <c r="AD33" i="5"/>
  <c r="M124" i="4"/>
  <c r="O124" i="4"/>
  <c r="G73" i="4"/>
  <c r="G74" i="4" s="1"/>
  <c r="G75" i="4" s="1"/>
  <c r="G95" i="4" s="1"/>
  <c r="P65" i="4"/>
  <c r="L66" i="4" s="1"/>
  <c r="G94" i="4" s="1"/>
  <c r="L122" i="4"/>
  <c r="N124" i="4"/>
  <c r="L123" i="4"/>
  <c r="M129" i="4"/>
  <c r="P131" i="4"/>
  <c r="M122" i="4"/>
  <c r="O129" i="4"/>
  <c r="O120" i="4"/>
  <c r="M120" i="4"/>
  <c r="M133" i="4"/>
  <c r="M132" i="4"/>
  <c r="P120" i="4"/>
  <c r="L131" i="4"/>
  <c r="O133" i="4"/>
  <c r="L120" i="4"/>
  <c r="O131" i="4"/>
  <c r="P130" i="4"/>
  <c r="N121" i="4"/>
  <c r="M131" i="4"/>
  <c r="L121" i="4"/>
  <c r="O132" i="4"/>
  <c r="N132" i="4"/>
  <c r="O130" i="4"/>
  <c r="L133" i="4"/>
  <c r="L124" i="4"/>
  <c r="P132" i="4"/>
  <c r="P129" i="4"/>
  <c r="M121" i="4"/>
  <c r="N120" i="4"/>
  <c r="N129" i="4"/>
  <c r="L129" i="4"/>
  <c r="P123" i="4"/>
  <c r="P122" i="4"/>
  <c r="O122" i="4"/>
  <c r="N133" i="4"/>
  <c r="M130" i="4"/>
  <c r="M123" i="4"/>
  <c r="L130" i="4"/>
  <c r="O121" i="4"/>
  <c r="N123" i="4"/>
  <c r="N122" i="4"/>
  <c r="P121" i="4"/>
  <c r="P133" i="4"/>
  <c r="N130" i="4"/>
  <c r="P124" i="4"/>
  <c r="L202" i="1"/>
  <c r="L323" i="1"/>
  <c r="L324" i="1" s="1"/>
  <c r="L327" i="1" s="1"/>
  <c r="H94" i="4" l="1"/>
  <c r="H96" i="4" s="1"/>
  <c r="H100" i="4" s="1"/>
  <c r="H102" i="4" s="1"/>
  <c r="G96" i="4"/>
  <c r="G100" i="4" s="1"/>
  <c r="G102" i="4" s="1"/>
  <c r="L185" i="1"/>
  <c r="L186" i="1" s="1"/>
  <c r="M184" i="1" s="1"/>
  <c r="M189" i="1" s="1"/>
  <c r="M274" i="1" s="1"/>
  <c r="L330" i="1"/>
  <c r="M200" i="1"/>
  <c r="M205" i="1" s="1"/>
  <c r="L366" i="1"/>
  <c r="L371" i="1" l="1"/>
  <c r="L380" i="1" s="1"/>
  <c r="L387" i="1" s="1"/>
  <c r="G104" i="4"/>
  <c r="AD40" i="5" s="1"/>
  <c r="AD37" i="5"/>
  <c r="H104" i="4"/>
  <c r="AD41" i="5" s="1"/>
  <c r="AD38" i="5"/>
  <c r="M275" i="1"/>
  <c r="M276" i="1" s="1"/>
  <c r="M123" i="1" s="1"/>
  <c r="M217" i="1"/>
  <c r="M329" i="1"/>
  <c r="L342" i="1"/>
  <c r="L349" i="1" s="1"/>
  <c r="L364" i="1" s="1"/>
  <c r="L389" i="1" l="1"/>
  <c r="AD31" i="5"/>
  <c r="AD32" i="5"/>
  <c r="M125" i="1"/>
  <c r="M126" i="1" s="1"/>
  <c r="M131" i="1" s="1"/>
  <c r="M128" i="1"/>
  <c r="M132" i="1" l="1"/>
  <c r="M306" i="1" s="1"/>
  <c r="M133" i="1" l="1"/>
  <c r="M278" i="1" s="1"/>
  <c r="M279" i="1" s="1"/>
  <c r="M282" i="1" s="1"/>
  <c r="M374" i="1"/>
  <c r="AE18" i="5" l="1"/>
  <c r="AE19" i="5" s="1"/>
  <c r="M289" i="1"/>
  <c r="M236" i="1"/>
  <c r="M237" i="1" s="1"/>
  <c r="M304" i="1"/>
  <c r="M378" i="1"/>
  <c r="AE20" i="5" l="1"/>
  <c r="M232" i="1"/>
  <c r="M233" i="1" s="1"/>
  <c r="M321" i="1" s="1"/>
  <c r="M242" i="1"/>
  <c r="M312" i="1"/>
  <c r="M243" i="1"/>
  <c r="M244" i="1" s="1"/>
  <c r="M197" i="1"/>
  <c r="M320" i="1"/>
  <c r="M193" i="1" l="1"/>
  <c r="AE24" i="5"/>
  <c r="M383" i="1"/>
  <c r="M196" i="1"/>
  <c r="N241" i="1"/>
  <c r="M382" i="1"/>
  <c r="M385" i="1" l="1"/>
  <c r="M290" i="1" s="1"/>
  <c r="M198" i="1"/>
  <c r="M201" i="1" s="1"/>
  <c r="M323" i="1" s="1"/>
  <c r="M324" i="1" s="1"/>
  <c r="M327" i="1" s="1"/>
  <c r="AE33" i="5" l="1"/>
  <c r="M202" i="1"/>
  <c r="M185" i="1"/>
  <c r="M186" i="1" s="1"/>
  <c r="N184" i="1" s="1"/>
  <c r="N189" i="1" s="1"/>
  <c r="N274" i="1" s="1"/>
  <c r="M330" i="1"/>
  <c r="N200" i="1"/>
  <c r="N205" i="1" s="1"/>
  <c r="M366" i="1"/>
  <c r="M371" i="1" l="1"/>
  <c r="M380" i="1" s="1"/>
  <c r="M387" i="1" s="1"/>
  <c r="N217" i="1"/>
  <c r="N275" i="1"/>
  <c r="N276" i="1" s="1"/>
  <c r="N123" i="1" s="1"/>
  <c r="M342" i="1"/>
  <c r="M349" i="1" s="1"/>
  <c r="M364" i="1" s="1"/>
  <c r="N329" i="1"/>
  <c r="M389" i="1" l="1"/>
  <c r="AE31" i="5"/>
  <c r="AE32" i="5"/>
  <c r="N128" i="1"/>
  <c r="N125" i="1"/>
  <c r="N126" i="1" s="1"/>
  <c r="N131" i="1" s="1"/>
  <c r="N132" i="1" l="1"/>
  <c r="N306" i="1" s="1"/>
  <c r="N133" i="1" l="1"/>
  <c r="N278" i="1" s="1"/>
  <c r="N279" i="1" s="1"/>
  <c r="N282" i="1" s="1"/>
  <c r="N374" i="1"/>
  <c r="AF18" i="5" l="1"/>
  <c r="AF20" i="5" s="1"/>
  <c r="N289" i="1"/>
  <c r="N236" i="1"/>
  <c r="N242" i="1" s="1"/>
  <c r="N304" i="1"/>
  <c r="N378" i="1"/>
  <c r="N232" i="1" l="1"/>
  <c r="N233" i="1" s="1"/>
  <c r="N196" i="1" s="1"/>
  <c r="N237" i="1"/>
  <c r="AF19" i="5"/>
  <c r="N312" i="1"/>
  <c r="N320" i="1"/>
  <c r="N197" i="1"/>
  <c r="N243" i="1"/>
  <c r="N244" i="1" s="1"/>
  <c r="N383" i="1" l="1"/>
  <c r="N321" i="1"/>
  <c r="N193" i="1"/>
  <c r="AF24" i="5"/>
  <c r="O241" i="1"/>
  <c r="N382" i="1"/>
  <c r="N198" i="1"/>
  <c r="N201" i="1" s="1"/>
  <c r="N385" i="1" l="1"/>
  <c r="N290" i="1" s="1"/>
  <c r="N202" i="1"/>
  <c r="N323" i="1"/>
  <c r="N324" i="1" s="1"/>
  <c r="N327" i="1" s="1"/>
  <c r="AF33" i="5" l="1"/>
  <c r="O200" i="1"/>
  <c r="N366" i="1"/>
  <c r="N185" i="1"/>
  <c r="N186" i="1" s="1"/>
  <c r="O184" i="1" s="1"/>
  <c r="O189" i="1" s="1"/>
  <c r="O274" i="1" s="1"/>
  <c r="N330" i="1"/>
  <c r="N371" i="1" l="1"/>
  <c r="N380" i="1" s="1"/>
  <c r="N387" i="1" s="1"/>
  <c r="O329" i="1"/>
  <c r="N342" i="1"/>
  <c r="N349" i="1" s="1"/>
  <c r="N364" i="1" s="1"/>
  <c r="O205" i="1"/>
  <c r="N389" i="1" l="1"/>
  <c r="AF31" i="5"/>
  <c r="AF32" i="5"/>
  <c r="O275" i="1"/>
  <c r="O276" i="1" s="1"/>
  <c r="O123" i="1" s="1"/>
  <c r="O217" i="1"/>
  <c r="O125" i="1" l="1"/>
  <c r="O126" i="1" s="1"/>
  <c r="O131" i="1" s="1"/>
  <c r="O128" i="1"/>
  <c r="O132" i="1" l="1"/>
  <c r="O306" i="1" s="1"/>
  <c r="O133" i="1" l="1"/>
  <c r="O278" i="1" s="1"/>
  <c r="O279" i="1" s="1"/>
  <c r="O282" i="1" s="1"/>
  <c r="O374" i="1"/>
  <c r="K349" i="1"/>
  <c r="K364" i="1" s="1"/>
  <c r="K389" i="1" s="1"/>
  <c r="J349" i="1"/>
  <c r="J364" i="1" s="1"/>
  <c r="J389" i="1" s="1"/>
  <c r="AG18" i="5" l="1"/>
  <c r="AG20" i="5" s="1"/>
  <c r="O289" i="1"/>
  <c r="O378" i="1"/>
  <c r="O236" i="1"/>
  <c r="O304" i="1"/>
  <c r="AG19" i="5" l="1"/>
  <c r="O312" i="1"/>
  <c r="O232" i="1"/>
  <c r="O233" i="1" s="1"/>
  <c r="O237" i="1"/>
  <c r="O242" i="1"/>
  <c r="O193" i="1" l="1"/>
  <c r="AG24" i="5"/>
  <c r="O243" i="1"/>
  <c r="O244" i="1" s="1"/>
  <c r="O320" i="1"/>
  <c r="O197" i="1"/>
  <c r="O196" i="1"/>
  <c r="O321" i="1"/>
  <c r="O383" i="1"/>
  <c r="O198" i="1" l="1"/>
  <c r="O201" i="1" s="1"/>
  <c r="P241" i="1"/>
  <c r="O382" i="1"/>
  <c r="O385" i="1" s="1"/>
  <c r="O290" i="1" s="1"/>
  <c r="AG33" i="5" l="1"/>
  <c r="O323" i="1"/>
  <c r="O324" i="1" s="1"/>
  <c r="O327" i="1" s="1"/>
  <c r="O202" i="1"/>
  <c r="O185" i="1" l="1"/>
  <c r="O186" i="1" s="1"/>
  <c r="P184" i="1" s="1"/>
  <c r="P189" i="1" s="1"/>
  <c r="P274" i="1" s="1"/>
  <c r="O330" i="1"/>
  <c r="P200" i="1"/>
  <c r="O366" i="1"/>
  <c r="O371" i="1" l="1"/>
  <c r="O380" i="1" s="1"/>
  <c r="O387" i="1" s="1"/>
  <c r="P205" i="1"/>
  <c r="P329" i="1"/>
  <c r="O342" i="1"/>
  <c r="O349" i="1" s="1"/>
  <c r="O364" i="1" s="1"/>
  <c r="O389" i="1" l="1"/>
  <c r="AG31" i="5"/>
  <c r="AG32" i="5"/>
  <c r="P275" i="1"/>
  <c r="P276" i="1" s="1"/>
  <c r="P123" i="1" s="1"/>
  <c r="P217" i="1"/>
  <c r="P125" i="1" l="1"/>
  <c r="P126" i="1" s="1"/>
  <c r="P131" i="1" s="1"/>
  <c r="P128" i="1"/>
  <c r="P132" i="1" l="1"/>
  <c r="P306" i="1" s="1"/>
  <c r="P374" i="1" l="1"/>
  <c r="P378" i="1" s="1"/>
  <c r="P133" i="1"/>
  <c r="P278" i="1" s="1"/>
  <c r="P279" i="1" s="1"/>
  <c r="P282" i="1" s="1"/>
  <c r="AH18" i="5" l="1"/>
  <c r="AH20" i="5" s="1"/>
  <c r="P289" i="1"/>
  <c r="P304" i="1"/>
  <c r="P236" i="1"/>
  <c r="AH19" i="5" l="1"/>
  <c r="P312" i="1"/>
  <c r="P232" i="1"/>
  <c r="P233" i="1" s="1"/>
  <c r="P237" i="1"/>
  <c r="P242" i="1"/>
  <c r="P193" i="1" l="1"/>
  <c r="AH24" i="5"/>
  <c r="P197" i="1"/>
  <c r="P243" i="1"/>
  <c r="P244" i="1" s="1"/>
  <c r="P382" i="1" s="1"/>
  <c r="P320" i="1"/>
  <c r="P196" i="1"/>
  <c r="P321" i="1"/>
  <c r="P383" i="1"/>
  <c r="P385" i="1" l="1"/>
  <c r="P290" i="1" s="1"/>
  <c r="P198" i="1"/>
  <c r="P201" i="1" s="1"/>
  <c r="AH33" i="5" l="1"/>
  <c r="P323" i="1"/>
  <c r="P324" i="1" s="1"/>
  <c r="P327" i="1" s="1"/>
  <c r="P202" i="1"/>
  <c r="P366" i="1" s="1"/>
  <c r="P371" i="1" l="1"/>
  <c r="P380" i="1" s="1"/>
  <c r="P387" i="1" s="1"/>
  <c r="P185" i="1"/>
  <c r="P186" i="1" s="1"/>
  <c r="P330" i="1"/>
  <c r="P342" i="1" s="1"/>
  <c r="P349" i="1" s="1"/>
  <c r="P364" i="1" s="1"/>
  <c r="P389" i="1" l="1"/>
  <c r="AH31" i="5"/>
  <c r="AH32" i="5"/>
</calcChain>
</file>

<file path=xl/sharedStrings.xml><?xml version="1.0" encoding="utf-8"?>
<sst xmlns="http://schemas.openxmlformats.org/spreadsheetml/2006/main" count="532" uniqueCount="320">
  <si>
    <t>Revenue Schedule</t>
  </si>
  <si>
    <t>Projected</t>
  </si>
  <si>
    <t>Pricing</t>
  </si>
  <si>
    <t>Sales Volume</t>
  </si>
  <si>
    <t>Revenue</t>
  </si>
  <si>
    <t>($ MM)</t>
  </si>
  <si>
    <t>Net Revenue</t>
  </si>
  <si>
    <t>-</t>
  </si>
  <si>
    <t>First year of forecast in financial model:</t>
  </si>
  <si>
    <t>High-NA Units</t>
  </si>
  <si>
    <t>Total Revenue</t>
  </si>
  <si>
    <t>Cost Schedule</t>
  </si>
  <si>
    <t>Gross Margin</t>
  </si>
  <si>
    <t>Depreciation/CapEx Schedule</t>
  </si>
  <si>
    <t>Working Capital Schedule</t>
  </si>
  <si>
    <t>Accounts Receivable</t>
  </si>
  <si>
    <t>Accounts Payable</t>
  </si>
  <si>
    <t>Debt Schedule</t>
  </si>
  <si>
    <t>Interest Rate</t>
  </si>
  <si>
    <t>Equity Schedule</t>
  </si>
  <si>
    <t>Net Income</t>
  </si>
  <si>
    <t>Dividends</t>
  </si>
  <si>
    <t>Income Statement</t>
  </si>
  <si>
    <t>R&amp;D</t>
  </si>
  <si>
    <t>SG&amp;A</t>
  </si>
  <si>
    <t>Tax Rate</t>
  </si>
  <si>
    <t xml:space="preserve">CapEx </t>
  </si>
  <si>
    <t>Net Change</t>
  </si>
  <si>
    <t>Ending Cash</t>
  </si>
  <si>
    <t>Beginning Cash</t>
  </si>
  <si>
    <t>Cash Flow Statement</t>
  </si>
  <si>
    <t>Balance Sheet</t>
  </si>
  <si>
    <t>Cash</t>
  </si>
  <si>
    <t>Inventory</t>
  </si>
  <si>
    <t>Total Assets</t>
  </si>
  <si>
    <t>Total Liabilities</t>
  </si>
  <si>
    <t>Other Equity</t>
  </si>
  <si>
    <t>Retained Earnings</t>
  </si>
  <si>
    <t>Total Liabilities and Equity</t>
  </si>
  <si>
    <t>Balance check</t>
  </si>
  <si>
    <t>Years Remaining Existing Assets:</t>
  </si>
  <si>
    <t>Depreciation Years on New Assets:</t>
  </si>
  <si>
    <t>Years remaining for depreciation of existing assets:</t>
  </si>
  <si>
    <t>Years used for depreciation of new assets:</t>
  </si>
  <si>
    <t>CAPEX</t>
  </si>
  <si>
    <t>Depreciation to Existing Assets</t>
  </si>
  <si>
    <t>Mid-year convention</t>
  </si>
  <si>
    <t>Total Depreciation</t>
  </si>
  <si>
    <t>Days per Year</t>
  </si>
  <si>
    <t>Income Statement Items</t>
  </si>
  <si>
    <t>Cost of Sales</t>
  </si>
  <si>
    <t>Days In</t>
  </si>
  <si>
    <t>Inventories</t>
  </si>
  <si>
    <t>Account Balances</t>
  </si>
  <si>
    <t>Net Working Capital</t>
  </si>
  <si>
    <t>Change in Working Capital</t>
  </si>
  <si>
    <t>FINANCING COMPONENT</t>
  </si>
  <si>
    <t>Revolver</t>
  </si>
  <si>
    <t>Senior Secured Term Debt</t>
  </si>
  <si>
    <t>Net Interest Expense</t>
  </si>
  <si>
    <t>Amount Outstanding - Beginning</t>
  </si>
  <si>
    <t>Change in Cash</t>
  </si>
  <si>
    <t>Amount Outstanding - Ending</t>
  </si>
  <si>
    <t>Annual Interest Income</t>
  </si>
  <si>
    <t>Operating Cash Flow</t>
  </si>
  <si>
    <t>Investing Cash Flow</t>
  </si>
  <si>
    <t>Mandatory Debt Repayments</t>
  </si>
  <si>
    <t>Common Stock Issuance / (Buy-back)</t>
  </si>
  <si>
    <t>FCF After Mandatory Debt Repayment and Dividend</t>
  </si>
  <si>
    <t>Revolver Outstanding - Beginning</t>
  </si>
  <si>
    <t>Additions / (Repayments)</t>
  </si>
  <si>
    <t>Revolver Outstanding - Ending</t>
  </si>
  <si>
    <t>Annual Interest Expense</t>
  </si>
  <si>
    <t>Common Shares</t>
  </si>
  <si>
    <t>Dividend Payout Rate</t>
  </si>
  <si>
    <t>Common Dividend</t>
  </si>
  <si>
    <t>Income Tax Schedule</t>
  </si>
  <si>
    <t xml:space="preserve">Accounting EBT (as is on I/S)   </t>
  </si>
  <si>
    <t>A</t>
  </si>
  <si>
    <t>Government EBT / Taxable income</t>
  </si>
  <si>
    <t>B</t>
  </si>
  <si>
    <t>Taxes as Appearing on Income Statement</t>
  </si>
  <si>
    <t>Increase (Decrease) in Deferred Income Taxes LIAB</t>
  </si>
  <si>
    <t>Total Income Taxes (Same as Accounting Taxes Above)</t>
  </si>
  <si>
    <t>Total Systems Revenue</t>
  </si>
  <si>
    <t>SYSTEMS</t>
  </si>
  <si>
    <t>SERVICES</t>
  </si>
  <si>
    <t>Service Revenue % of Systems</t>
  </si>
  <si>
    <t xml:space="preserve">Service Revenue </t>
  </si>
  <si>
    <t>Net system sales</t>
  </si>
  <si>
    <t>Net service and field option sales</t>
  </si>
  <si>
    <t>Total net sales</t>
  </si>
  <si>
    <t>Cost of system sales</t>
  </si>
  <si>
    <t>Cost of service and field option sales</t>
  </si>
  <si>
    <t>Total cost of sales</t>
  </si>
  <si>
    <t>Gross profit</t>
  </si>
  <si>
    <t>Research and development costs</t>
  </si>
  <si>
    <t>Selling, general and administrative costs</t>
  </si>
  <si>
    <t>Other income</t>
  </si>
  <si>
    <t>Operating income</t>
  </si>
  <si>
    <t>Finance income</t>
  </si>
  <si>
    <t>Finance costs</t>
  </si>
  <si>
    <t>Income before income taxes</t>
  </si>
  <si>
    <t>Income tax expense</t>
  </si>
  <si>
    <t>Income after income taxes</t>
  </si>
  <si>
    <t>Profit from investments in associates</t>
  </si>
  <si>
    <t>Share-based Compensation</t>
  </si>
  <si>
    <t>Depreciation &amp; Amortization</t>
  </si>
  <si>
    <t>Deferred Income Taxes</t>
  </si>
  <si>
    <t>Changes in working capital</t>
  </si>
  <si>
    <t>Capitalized Development Costs</t>
  </si>
  <si>
    <t>Other Investing Activities</t>
  </si>
  <si>
    <t>Share Buybacks</t>
  </si>
  <si>
    <t>Financing Cash Flow</t>
  </si>
  <si>
    <t>Contract Assets</t>
  </si>
  <si>
    <t>Finance Receivables</t>
  </si>
  <si>
    <t>Total Current Assets</t>
  </si>
  <si>
    <t>Finance receivables, net</t>
  </si>
  <si>
    <t>Deferred tax assets</t>
  </si>
  <si>
    <t>Loans receivable</t>
  </si>
  <si>
    <t>Other assets</t>
  </si>
  <si>
    <t>Derivative financial instruments</t>
  </si>
  <si>
    <t>Investments in associates</t>
  </si>
  <si>
    <t>Goodwill</t>
  </si>
  <si>
    <t>Intangible assets, net</t>
  </si>
  <si>
    <t>Property, plant and equipment, net</t>
  </si>
  <si>
    <t>Right-of-use assets</t>
  </si>
  <si>
    <t>Total Non-Current Assets</t>
  </si>
  <si>
    <t>Accrued and other liabilities</t>
  </si>
  <si>
    <t>Contract liabilities</t>
  </si>
  <si>
    <t>Total Current Liabilities</t>
  </si>
  <si>
    <t>Total Non-Current Liabilities</t>
  </si>
  <si>
    <t>Long-term Debt</t>
  </si>
  <si>
    <t>Deferred Tax Liabilities</t>
  </si>
  <si>
    <t>Other Non-Current Liabilities</t>
  </si>
  <si>
    <t>Derivatives</t>
  </si>
  <si>
    <t>Shareholders’ equity</t>
  </si>
  <si>
    <t>Other Non-Cash Adjustments</t>
  </si>
  <si>
    <t>Share Issuance</t>
  </si>
  <si>
    <t>Effect of Changes in Exchange Rate</t>
  </si>
  <si>
    <t>High-NA Units (EXE)</t>
  </si>
  <si>
    <t>NXE Units</t>
  </si>
  <si>
    <t>ArF Immersion Units</t>
  </si>
  <si>
    <t>ArF Dry Units</t>
  </si>
  <si>
    <t>KrF Units</t>
  </si>
  <si>
    <t>I-line Units</t>
  </si>
  <si>
    <t>Total DUV Units</t>
  </si>
  <si>
    <t>High-NA ASP (EXE)</t>
  </si>
  <si>
    <t>NXE ASP</t>
  </si>
  <si>
    <t>%</t>
  </si>
  <si>
    <t>High-NA Revenue (EXE)</t>
  </si>
  <si>
    <t>NXE Revenue</t>
  </si>
  <si>
    <t>ArF Immersion Revenue</t>
  </si>
  <si>
    <t>ArF Dry Revenue</t>
  </si>
  <si>
    <t>KrF Revenue</t>
  </si>
  <si>
    <t>I-line Revenue</t>
  </si>
  <si>
    <t>Total DUV Revenue</t>
  </si>
  <si>
    <t>Metrology Revenue</t>
  </si>
  <si>
    <t>ArF Immersion ASP</t>
  </si>
  <si>
    <t>ArF Dry ASP</t>
  </si>
  <si>
    <t>KrF ASP</t>
  </si>
  <si>
    <t>I-line ASP</t>
  </si>
  <si>
    <t>Total DUV ASP</t>
  </si>
  <si>
    <t>Cost of Systems Sales</t>
  </si>
  <si>
    <t>Cost of Service Sales</t>
  </si>
  <si>
    <t>Total Cost of Sales</t>
  </si>
  <si>
    <t>Other operating current assets</t>
  </si>
  <si>
    <t>Other financial current assets</t>
  </si>
  <si>
    <t>Other financial current liabilities</t>
  </si>
  <si>
    <t>EUV Units</t>
  </si>
  <si>
    <t>DUV Units</t>
  </si>
  <si>
    <t>SCENARIO SWITCH:</t>
  </si>
  <si>
    <t>Variable Drivers</t>
  </si>
  <si>
    <t>Service growth</t>
  </si>
  <si>
    <r>
      <t xml:space="preserve">DUV ASP - </t>
    </r>
    <r>
      <rPr>
        <b/>
        <sz val="10"/>
        <rFont val="Calibri"/>
        <family val="2"/>
        <charset val="204"/>
      </rPr>
      <t>€</t>
    </r>
    <r>
      <rPr>
        <b/>
        <sz val="8.6999999999999993"/>
        <rFont val="Arial"/>
        <family val="2"/>
      </rPr>
      <t xml:space="preserve"> Millions</t>
    </r>
  </si>
  <si>
    <t>High-NA ASP - € Millions</t>
  </si>
  <si>
    <t>EUV ASP - € Millions</t>
  </si>
  <si>
    <t>Base Case</t>
  </si>
  <si>
    <t>Bull Case</t>
  </si>
  <si>
    <t>Bear Case</t>
  </si>
  <si>
    <t>Three scenarios have been used for EUV Units, EUV ASP,</t>
  </si>
  <si>
    <t>High-NA Units, High-NA ASP, DUV Units, DUV ASP,</t>
  </si>
  <si>
    <t>Service Growth and Growth Margin</t>
  </si>
  <si>
    <t>GENERAL</t>
  </si>
  <si>
    <t>Scenario:</t>
  </si>
  <si>
    <t>Impact</t>
  </si>
  <si>
    <t>Management Guidance</t>
  </si>
  <si>
    <t>AI Demand Stronger</t>
  </si>
  <si>
    <t>Semiconductor cycle down</t>
  </si>
  <si>
    <t>DEPRECIATION</t>
  </si>
  <si>
    <t>Depreciation Methodology Used:</t>
  </si>
  <si>
    <t>Straight Line</t>
  </si>
  <si>
    <t>EQUITY</t>
  </si>
  <si>
    <t>Dividend Payout Ratio</t>
  </si>
  <si>
    <t>INTEREST RATES</t>
  </si>
  <si>
    <t>Interest earned on Cash balances:</t>
  </si>
  <si>
    <t>Interest rate on Bank Revolver:</t>
  </si>
  <si>
    <t>Interest rate on Long-Term Debt:</t>
  </si>
  <si>
    <t>TAXES</t>
  </si>
  <si>
    <t>Tax rate assumed in the model:</t>
  </si>
  <si>
    <t>OTHER ASSUMPTIONS</t>
  </si>
  <si>
    <t>% of Revenue</t>
  </si>
  <si>
    <t>Working Capital Days</t>
  </si>
  <si>
    <t>days</t>
  </si>
  <si>
    <t>Change in Debt &amp; Equity</t>
  </si>
  <si>
    <t>Long-Term Debt Issuance / (Repayment)</t>
  </si>
  <si>
    <t>MM</t>
  </si>
  <si>
    <t>Metrology Revenue Growth</t>
  </si>
  <si>
    <t>Systems Revenue</t>
  </si>
  <si>
    <t>Service Revenue</t>
  </si>
  <si>
    <t>R&amp;D % of Revenue</t>
  </si>
  <si>
    <t>SG&amp;A % of Revenue</t>
  </si>
  <si>
    <t xml:space="preserve">Capital Expenditures </t>
  </si>
  <si>
    <t>% of Service Revenue</t>
  </si>
  <si>
    <t>% of Systems Revenue</t>
  </si>
  <si>
    <t>Cost of Systems Revenue</t>
  </si>
  <si>
    <t>Cost Service Revenue</t>
  </si>
  <si>
    <t>Bank Debt - Revolver</t>
  </si>
  <si>
    <t>Timing difference</t>
  </si>
  <si>
    <t>% of EBT</t>
  </si>
  <si>
    <t>Temporary Timing Differences</t>
  </si>
  <si>
    <t>Profit from Investment in Associates Growth</t>
  </si>
  <si>
    <t>EBITDA</t>
  </si>
  <si>
    <t>EBITDA Margin</t>
  </si>
  <si>
    <t>EBIT Margin</t>
  </si>
  <si>
    <t>Net Margin</t>
  </si>
  <si>
    <t>Key metrics</t>
  </si>
  <si>
    <t>Return on Equity</t>
  </si>
  <si>
    <t>Share Based Compensation</t>
  </si>
  <si>
    <t>Annual Share Buyback Ratio</t>
  </si>
  <si>
    <t>Annual Share Buyback Rate</t>
  </si>
  <si>
    <t>Treasury Shares</t>
  </si>
  <si>
    <t>Buy Back</t>
  </si>
  <si>
    <t>Net Debt Issued/(Repaid)</t>
  </si>
  <si>
    <t>Intangible Assets</t>
  </si>
  <si>
    <t>Contract Liabilities (Non-Current)</t>
  </si>
  <si>
    <t>% of Current Contract Liabilities</t>
  </si>
  <si>
    <t>Other Non-Current Liabilities Growth</t>
  </si>
  <si>
    <t>Change in Total Finance Receivables</t>
  </si>
  <si>
    <t>VALUATION</t>
  </si>
  <si>
    <t>Risk-free Rate</t>
  </si>
  <si>
    <t xml:space="preserve">Beta </t>
  </si>
  <si>
    <t>Equity Risk Premium</t>
  </si>
  <si>
    <t>Terminal Growth Rate</t>
  </si>
  <si>
    <t>Exit EV/EBITDA Multiple</t>
  </si>
  <si>
    <t>Shares outstanding</t>
  </si>
  <si>
    <t>Current Share Price</t>
  </si>
  <si>
    <t>WACC Schedule</t>
  </si>
  <si>
    <t>Beta (levered)</t>
  </si>
  <si>
    <t>Cost Of Equity</t>
  </si>
  <si>
    <t>Pre-Tax Cost of Debt</t>
  </si>
  <si>
    <t>Market Cap</t>
  </si>
  <si>
    <t>Total Debt</t>
  </si>
  <si>
    <t>Total Capital</t>
  </si>
  <si>
    <t>Equity Weight</t>
  </si>
  <si>
    <t>Debt Weight</t>
  </si>
  <si>
    <t>After-Tax Cost of Debt</t>
  </si>
  <si>
    <t>WACC</t>
  </si>
  <si>
    <t>FCFF</t>
  </si>
  <si>
    <t>YoY Growth</t>
  </si>
  <si>
    <t>DCF &amp; Terminal Value Schedule</t>
  </si>
  <si>
    <t>Discount Factor</t>
  </si>
  <si>
    <t xml:space="preserve">Discount Period </t>
  </si>
  <si>
    <t xml:space="preserve">NOPAT </t>
  </si>
  <si>
    <t xml:space="preserve">EBIT </t>
  </si>
  <si>
    <t>PV of FCFF</t>
  </si>
  <si>
    <t xml:space="preserve">Sum of PV </t>
  </si>
  <si>
    <t>Terminal Value</t>
  </si>
  <si>
    <t>Cost of Equity</t>
  </si>
  <si>
    <t>Cost of Debt</t>
  </si>
  <si>
    <t>Capital Structure</t>
  </si>
  <si>
    <t>Method 1: Gordon Growth Model</t>
  </si>
  <si>
    <t xml:space="preserve">Terminal Growth Rate </t>
  </si>
  <si>
    <t>FCFF in Terminal Year</t>
  </si>
  <si>
    <t>Method 2: Exit EV/EBITDA Multiple</t>
  </si>
  <si>
    <t>EBITDA in Terminal Year</t>
  </si>
  <si>
    <t>PV of Terminal Value</t>
  </si>
  <si>
    <t xml:space="preserve">Terminal Value </t>
  </si>
  <si>
    <t>Exit Multiple</t>
  </si>
  <si>
    <t>Gordon Growth</t>
  </si>
  <si>
    <t>Sum of PV</t>
  </si>
  <si>
    <t>Enterprise Value</t>
  </si>
  <si>
    <t xml:space="preserve">Cash </t>
  </si>
  <si>
    <t>Investment in Associates</t>
  </si>
  <si>
    <t>Equity Value</t>
  </si>
  <si>
    <t>Shares Outstanding</t>
  </si>
  <si>
    <t>Implied Share Price</t>
  </si>
  <si>
    <t>Upside / (Downside)</t>
  </si>
  <si>
    <t>Enterprise Value to Equity Value Bridge</t>
  </si>
  <si>
    <t>Change WACC</t>
  </si>
  <si>
    <t>Change Terminal Growth Rate</t>
  </si>
  <si>
    <t>Sensitivity Analysis</t>
  </si>
  <si>
    <t>Change Exit Multiple</t>
  </si>
  <si>
    <t>ASML</t>
  </si>
  <si>
    <t xml:space="preserve"> </t>
  </si>
  <si>
    <t>Assumptions</t>
  </si>
  <si>
    <t xml:space="preserve">   Growth</t>
  </si>
  <si>
    <t xml:space="preserve">   Margin</t>
  </si>
  <si>
    <t>Cash Flow Items</t>
  </si>
  <si>
    <t>Capital Expenditures</t>
  </si>
  <si>
    <t>Capitalized Dev. Costs</t>
  </si>
  <si>
    <t>Free Cash Flow to Firm</t>
  </si>
  <si>
    <t>Balance Sheet Items</t>
  </si>
  <si>
    <t>Net Debt</t>
  </si>
  <si>
    <t>Shareholders' Equity</t>
  </si>
  <si>
    <t>Valuation</t>
  </si>
  <si>
    <t>Implied Price - GGM</t>
  </si>
  <si>
    <t>Implied Price - Exit EV/EBITDA</t>
  </si>
  <si>
    <t>Upside / (Downside) - GGM</t>
  </si>
  <si>
    <t>Upside / (Downside) - Exit Mult.</t>
  </si>
  <si>
    <t>Trend</t>
  </si>
  <si>
    <t>Summary Outputs</t>
  </si>
  <si>
    <t>ASML | 3-Statement Model &amp; DCF Valuation</t>
  </si>
  <si>
    <t>SUMMMARY VALUES - BASE CASE</t>
  </si>
  <si>
    <r>
      <t>(</t>
    </r>
    <r>
      <rPr>
        <b/>
        <sz val="10"/>
        <color theme="0"/>
        <rFont val="Calibri"/>
        <family val="2"/>
        <charset val="204"/>
      </rPr>
      <t>€</t>
    </r>
    <r>
      <rPr>
        <b/>
        <sz val="8.1999999999999993"/>
        <color theme="0"/>
        <rFont val="Arial"/>
        <family val="2"/>
        <charset val="204"/>
      </rPr>
      <t xml:space="preserve"> Millions)</t>
    </r>
  </si>
  <si>
    <t>SUMMMARY VALUES - BULL CASE</t>
  </si>
  <si>
    <t>SUMMMARY VALUES - BEAR CASE</t>
  </si>
  <si>
    <t>Free Cash Flow to Firm (FCFF) Schedule</t>
  </si>
  <si>
    <t>Changes in Working Capital</t>
  </si>
  <si>
    <r>
      <t>(</t>
    </r>
    <r>
      <rPr>
        <b/>
        <sz val="10"/>
        <rFont val="Calibri"/>
        <family val="2"/>
        <charset val="204"/>
      </rPr>
      <t>€</t>
    </r>
    <r>
      <rPr>
        <b/>
        <i/>
        <sz val="10"/>
        <rFont val="Arial"/>
        <family val="2"/>
        <charset val="204"/>
      </rPr>
      <t xml:space="preserve"> Millions)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</si>
</sst>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\ _л_в_._-;\-* #,##0.00\ _л_в_._-;_-* &quot;-&quot;??\ _л_в_._-;_-@_-"/>
    <numFmt numFmtId="164" formatCode="0\A"/>
    <numFmt numFmtId="165" formatCode="0.0%"/>
    <numFmt numFmtId="166" formatCode="_(* #,##0.0_);_(* \(#,##0.0\);_(* &quot;-&quot;??_);_(@_)"/>
    <numFmt numFmtId="167" formatCode="_(* #,##0_);_(* \(#,##0\);_(* &quot;-&quot;??_);_(@_)"/>
    <numFmt numFmtId="168" formatCode="0.0_);\(0.0\)"/>
    <numFmt numFmtId="169" formatCode="&quot;$&quot;#,##0.0_);\(&quot;$&quot;#,##0.0\)"/>
    <numFmt numFmtId="170" formatCode="#,##0.0_);\(#,##0.0\)"/>
    <numFmt numFmtId="171" formatCode="0_);\(0\)"/>
    <numFmt numFmtId="172" formatCode="&quot;- Opening UCC pool of &quot;&quot;$&quot;#,###.0&quot; million as of January 1, 1999&quot;"/>
    <numFmt numFmtId="173" formatCode="0\ &quot;years&quot;"/>
    <numFmt numFmtId="174" formatCode="0.00_);\(0.00\)"/>
    <numFmt numFmtId="175" formatCode="0%;\(0%\)"/>
    <numFmt numFmtId="176" formatCode="#,##0_);\(#,##0\)"/>
    <numFmt numFmtId="177" formatCode="General&quot;M&quot;\ "/>
    <numFmt numFmtId="178" formatCode="General&quot;x&quot;"/>
    <numFmt numFmtId="179" formatCode="\€\ #,##0.00\ "/>
    <numFmt numFmtId="180" formatCode="#,##0.00_);\(#,##0.00\)"/>
    <numFmt numFmtId="181" formatCode="0.0%;\(0.0%\)"/>
    <numFmt numFmtId="182" formatCode="0\F"/>
  </numFmts>
  <fonts count="8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sz val="10"/>
      <color indexed="9"/>
      <name val="Arial"/>
      <family val="2"/>
    </font>
    <font>
      <sz val="8"/>
      <color rgb="FF5B77CC"/>
      <name val="Arial"/>
      <family val="2"/>
    </font>
    <font>
      <sz val="10"/>
      <color rgb="FF0000FF"/>
      <name val="Arial"/>
      <family val="2"/>
    </font>
    <font>
      <sz val="10"/>
      <color rgb="FF009B73"/>
      <name val="Arial"/>
      <family val="2"/>
    </font>
    <font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8"/>
      <color indexed="12"/>
      <name val="Arial"/>
      <family val="2"/>
      <charset val="204"/>
    </font>
    <font>
      <sz val="11"/>
      <color theme="1"/>
      <name val="Arial"/>
      <family val="2"/>
      <charset val="204"/>
    </font>
    <font>
      <sz val="9"/>
      <color rgb="FF5B77CC"/>
      <name val="Arial"/>
      <family val="2"/>
      <charset val="204"/>
    </font>
    <font>
      <b/>
      <sz val="18"/>
      <name val="Arial"/>
      <family val="2"/>
      <charset val="204"/>
    </font>
    <font>
      <b/>
      <sz val="14"/>
      <name val="Arial"/>
      <family val="2"/>
      <charset val="204"/>
    </font>
    <font>
      <b/>
      <i/>
      <sz val="14"/>
      <color indexed="10"/>
      <name val="Arial"/>
      <family val="2"/>
      <charset val="204"/>
    </font>
    <font>
      <b/>
      <i/>
      <sz val="9"/>
      <color rgb="FF5B77CC"/>
      <name val="Arial"/>
      <family val="2"/>
      <charset val="204"/>
    </font>
    <font>
      <b/>
      <sz val="10"/>
      <name val="Arial"/>
      <family val="2"/>
      <charset val="204"/>
    </font>
    <font>
      <sz val="10"/>
      <color indexed="9"/>
      <name val="Arial"/>
      <family val="2"/>
      <charset val="204"/>
    </font>
    <font>
      <sz val="8"/>
      <color rgb="FF5B77CC"/>
      <name val="Arial"/>
      <family val="2"/>
      <charset val="204"/>
    </font>
    <font>
      <sz val="10"/>
      <color rgb="FF0000FF"/>
      <name val="Arial"/>
      <family val="2"/>
      <charset val="204"/>
    </font>
    <font>
      <i/>
      <sz val="10"/>
      <color indexed="12"/>
      <name val="Arial"/>
      <family val="2"/>
      <charset val="204"/>
    </font>
    <font>
      <i/>
      <sz val="10"/>
      <name val="Arial"/>
      <family val="2"/>
      <charset val="204"/>
    </font>
    <font>
      <sz val="10"/>
      <color indexed="12"/>
      <name val="Arial"/>
      <family val="2"/>
      <charset val="204"/>
    </font>
    <font>
      <b/>
      <sz val="8"/>
      <color rgb="FF5B77CC"/>
      <name val="Arial"/>
      <family val="2"/>
      <charset val="204"/>
    </font>
    <font>
      <b/>
      <sz val="10"/>
      <color indexed="9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color indexed="8"/>
      <name val="Arial"/>
      <family val="2"/>
    </font>
    <font>
      <sz val="11"/>
      <name val="Arial"/>
      <family val="2"/>
      <charset val="204"/>
    </font>
    <font>
      <b/>
      <sz val="10"/>
      <color indexed="8"/>
      <name val="Arial"/>
      <family val="2"/>
    </font>
    <font>
      <sz val="9"/>
      <color indexed="12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  <charset val="204"/>
    </font>
    <font>
      <b/>
      <sz val="11"/>
      <name val="Arial"/>
      <family val="2"/>
      <charset val="204"/>
    </font>
    <font>
      <b/>
      <i/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rgb="FF5B77CC"/>
      <name val="Arial"/>
      <family val="2"/>
      <charset val="204"/>
    </font>
    <font>
      <b/>
      <sz val="10"/>
      <color rgb="FF009B73"/>
      <name val="Arial"/>
      <family val="2"/>
      <charset val="204"/>
    </font>
    <font>
      <b/>
      <u/>
      <sz val="10"/>
      <name val="Arial"/>
      <family val="2"/>
      <charset val="204"/>
    </font>
    <font>
      <b/>
      <sz val="9"/>
      <color indexed="8"/>
      <name val="Arial"/>
      <family val="2"/>
      <charset val="204"/>
    </font>
    <font>
      <sz val="9"/>
      <color indexed="12"/>
      <name val="Arial"/>
      <family val="2"/>
      <charset val="204"/>
    </font>
    <font>
      <b/>
      <sz val="10"/>
      <color indexed="12"/>
      <name val="Arial"/>
      <family val="2"/>
      <charset val="204"/>
    </font>
    <font>
      <b/>
      <sz val="9"/>
      <color indexed="12"/>
      <name val="Arial"/>
      <family val="2"/>
      <charset val="204"/>
    </font>
    <font>
      <b/>
      <sz val="10"/>
      <color rgb="FF5B77CC"/>
      <name val="Arial"/>
      <family val="2"/>
      <charset val="204"/>
    </font>
    <font>
      <b/>
      <sz val="9"/>
      <color rgb="FF5B77CC"/>
      <name val="Arial"/>
      <family val="2"/>
      <charset val="204"/>
    </font>
    <font>
      <sz val="11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Times New Roman"/>
      <family val="1"/>
    </font>
    <font>
      <sz val="16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rgb="FF009B73"/>
      <name val="Arial"/>
      <family val="2"/>
    </font>
    <font>
      <b/>
      <sz val="10"/>
      <name val="Calibri"/>
      <family val="2"/>
      <charset val="204"/>
    </font>
    <font>
      <b/>
      <sz val="8.6999999999999993"/>
      <name val="Arial"/>
      <family val="2"/>
    </font>
    <font>
      <b/>
      <sz val="10"/>
      <color theme="0"/>
      <name val="Arial"/>
      <family val="2"/>
      <charset val="204"/>
    </font>
    <font>
      <sz val="10"/>
      <color theme="0"/>
      <name val="Arial"/>
      <family val="2"/>
      <charset val="204"/>
    </font>
    <font>
      <u/>
      <sz val="10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theme="1"/>
      <name val="Arial"/>
      <family val="2"/>
    </font>
    <font>
      <b/>
      <i/>
      <sz val="10"/>
      <color indexed="10"/>
      <name val="Arial"/>
      <family val="2"/>
    </font>
    <font>
      <sz val="10"/>
      <color theme="4" tint="0.39997558519241921"/>
      <name val="Arial"/>
      <family val="2"/>
    </font>
    <font>
      <sz val="10"/>
      <color theme="1"/>
      <name val="Calibri"/>
      <family val="2"/>
      <charset val="204"/>
    </font>
    <font>
      <b/>
      <i/>
      <sz val="10"/>
      <name val="Arial"/>
      <family val="2"/>
      <charset val="204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9"/>
      <name val="Arial"/>
      <family val="2"/>
      <charset val="204"/>
    </font>
    <font>
      <b/>
      <sz val="12"/>
      <name val="Arial"/>
      <family val="2"/>
      <charset val="204"/>
    </font>
    <font>
      <b/>
      <i/>
      <sz val="14"/>
      <name val="Arial"/>
      <family val="2"/>
      <charset val="204"/>
    </font>
    <font>
      <sz val="9"/>
      <name val="Arial"/>
      <family val="2"/>
      <charset val="204"/>
    </font>
    <font>
      <b/>
      <i/>
      <sz val="10"/>
      <color theme="0"/>
      <name val="Arial"/>
      <family val="2"/>
      <charset val="204"/>
    </font>
    <font>
      <i/>
      <sz val="10"/>
      <color theme="0"/>
      <name val="Arial"/>
      <family val="2"/>
      <charset val="204"/>
    </font>
    <font>
      <b/>
      <sz val="10"/>
      <color theme="0"/>
      <name val="Calibri"/>
      <family val="2"/>
      <charset val="204"/>
    </font>
    <font>
      <b/>
      <sz val="8.1999999999999993"/>
      <color theme="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theme="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59" fillId="0" borderId="0"/>
  </cellStyleXfs>
  <cellXfs count="543">
    <xf numFmtId="0" fontId="0" fillId="0" borderId="0" xfId="0"/>
    <xf numFmtId="164" fontId="6" fillId="0" borderId="0" xfId="0" quotePrefix="1" applyNumberFormat="1" applyFont="1" applyAlignment="1">
      <alignment horizontal="right"/>
    </xf>
    <xf numFmtId="0" fontId="9" fillId="0" borderId="0" xfId="0" applyFont="1"/>
    <xf numFmtId="0" fontId="10" fillId="0" borderId="0" xfId="0" quotePrefix="1" applyFont="1" applyAlignment="1">
      <alignment horizontal="left"/>
    </xf>
    <xf numFmtId="166" fontId="11" fillId="0" borderId="0" xfId="1" applyNumberFormat="1" applyFont="1" applyFill="1" applyBorder="1" applyProtection="1"/>
    <xf numFmtId="166" fontId="11" fillId="0" borderId="0" xfId="1" applyNumberFormat="1" applyFont="1" applyFill="1" applyProtection="1"/>
    <xf numFmtId="165" fontId="13" fillId="0" borderId="0" xfId="0" applyNumberFormat="1" applyFont="1"/>
    <xf numFmtId="166" fontId="14" fillId="0" borderId="0" xfId="1" applyNumberFormat="1" applyFont="1" applyFill="1" applyBorder="1" applyProtection="1"/>
    <xf numFmtId="166" fontId="6" fillId="0" borderId="0" xfId="1" applyNumberFormat="1" applyFont="1" applyFill="1" applyBorder="1" applyProtection="1"/>
    <xf numFmtId="166" fontId="6" fillId="0" borderId="0" xfId="1" applyNumberFormat="1" applyFont="1" applyFill="1" applyProtection="1"/>
    <xf numFmtId="167" fontId="15" fillId="0" borderId="3" xfId="1" applyNumberFormat="1" applyFont="1" applyFill="1" applyBorder="1" applyProtection="1"/>
    <xf numFmtId="167" fontId="15" fillId="0" borderId="0" xfId="1" applyNumberFormat="1" applyFont="1" applyFill="1" applyProtection="1"/>
    <xf numFmtId="169" fontId="6" fillId="0" borderId="0" xfId="1" applyNumberFormat="1" applyFont="1" applyFill="1" applyBorder="1" applyProtection="1"/>
    <xf numFmtId="164" fontId="17" fillId="0" borderId="0" xfId="0" applyNumberFormat="1" applyFont="1"/>
    <xf numFmtId="164" fontId="6" fillId="0" borderId="0" xfId="0" applyNumberFormat="1" applyFont="1" applyBorder="1"/>
    <xf numFmtId="0" fontId="18" fillId="0" borderId="0" xfId="0" applyFont="1" applyAlignment="1">
      <alignment horizontal="left"/>
    </xf>
    <xf numFmtId="0" fontId="18" fillId="0" borderId="0" xfId="0" applyFont="1" applyAlignment="1">
      <alignment horizontal="centerContinuous"/>
    </xf>
    <xf numFmtId="0" fontId="19" fillId="0" borderId="0" xfId="0" applyFont="1" applyAlignment="1">
      <alignment horizontal="centerContinuous"/>
    </xf>
    <xf numFmtId="0" fontId="20" fillId="0" borderId="0" xfId="0" applyFont="1" applyAlignment="1">
      <alignment horizontal="centerContinuous"/>
    </xf>
    <xf numFmtId="0" fontId="19" fillId="0" borderId="0" xfId="0" applyFont="1"/>
    <xf numFmtId="0" fontId="21" fillId="0" borderId="0" xfId="0" applyFont="1" applyAlignment="1">
      <alignment horizontal="left"/>
    </xf>
    <xf numFmtId="0" fontId="21" fillId="0" borderId="0" xfId="0" applyFont="1" applyAlignment="1">
      <alignment horizontal="centerContinuous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centerContinuous"/>
    </xf>
    <xf numFmtId="0" fontId="23" fillId="0" borderId="0" xfId="0" applyFont="1" applyAlignment="1">
      <alignment horizontal="centerContinuous"/>
    </xf>
    <xf numFmtId="0" fontId="24" fillId="0" borderId="0" xfId="0" applyFont="1" applyAlignment="1">
      <alignment horizontal="centerContinuous"/>
    </xf>
    <xf numFmtId="0" fontId="22" fillId="0" borderId="1" xfId="0" applyFont="1" applyBorder="1" applyAlignment="1">
      <alignment horizontal="centerContinuous"/>
    </xf>
    <xf numFmtId="0" fontId="23" fillId="0" borderId="1" xfId="0" applyFont="1" applyBorder="1" applyAlignment="1">
      <alignment horizontal="centerContinuous"/>
    </xf>
    <xf numFmtId="0" fontId="24" fillId="0" borderId="1" xfId="0" applyFont="1" applyBorder="1" applyAlignment="1">
      <alignment horizontal="centerContinuous"/>
    </xf>
    <xf numFmtId="0" fontId="19" fillId="0" borderId="0" xfId="0" applyFont="1" applyBorder="1"/>
    <xf numFmtId="0" fontId="20" fillId="0" borderId="0" xfId="0" applyFont="1"/>
    <xf numFmtId="0" fontId="25" fillId="0" borderId="0" xfId="0" applyFont="1" applyAlignment="1">
      <alignment horizontal="centerContinuous"/>
    </xf>
    <xf numFmtId="164" fontId="25" fillId="0" borderId="0" xfId="0" applyNumberFormat="1" applyFont="1" applyBorder="1"/>
    <xf numFmtId="164" fontId="25" fillId="0" borderId="0" xfId="0" quotePrefix="1" applyNumberFormat="1" applyFont="1" applyAlignment="1">
      <alignment horizontal="right"/>
    </xf>
    <xf numFmtId="0" fontId="25" fillId="0" borderId="0" xfId="0" applyFont="1"/>
    <xf numFmtId="0" fontId="26" fillId="0" borderId="0" xfId="0" applyFont="1"/>
    <xf numFmtId="0" fontId="25" fillId="0" borderId="0" xfId="0" quotePrefix="1" applyFont="1" applyAlignment="1">
      <alignment horizontal="left"/>
    </xf>
    <xf numFmtId="0" fontId="27" fillId="0" borderId="0" xfId="0" applyFont="1"/>
    <xf numFmtId="0" fontId="27" fillId="0" borderId="0" xfId="0" quotePrefix="1" applyFont="1" applyAlignment="1">
      <alignment horizontal="left"/>
    </xf>
    <xf numFmtId="166" fontId="28" fillId="0" borderId="0" xfId="1" applyNumberFormat="1" applyFont="1" applyFill="1" applyBorder="1" applyProtection="1"/>
    <xf numFmtId="166" fontId="28" fillId="0" borderId="0" xfId="1" applyNumberFormat="1" applyFont="1" applyFill="1" applyProtection="1"/>
    <xf numFmtId="165" fontId="29" fillId="0" borderId="0" xfId="0" applyNumberFormat="1" applyFont="1"/>
    <xf numFmtId="165" fontId="30" fillId="0" borderId="0" xfId="0" applyNumberFormat="1" applyFont="1"/>
    <xf numFmtId="0" fontId="19" fillId="0" borderId="0" xfId="0" applyFont="1" applyAlignment="1">
      <alignment horizontal="left"/>
    </xf>
    <xf numFmtId="166" fontId="31" fillId="0" borderId="0" xfId="1" applyNumberFormat="1" applyFont="1" applyFill="1" applyBorder="1" applyProtection="1"/>
    <xf numFmtId="0" fontId="25" fillId="0" borderId="0" xfId="0" applyFont="1" applyAlignment="1">
      <alignment horizontal="left"/>
    </xf>
    <xf numFmtId="0" fontId="32" fillId="0" borderId="0" xfId="0" quotePrefix="1" applyFont="1" applyAlignment="1">
      <alignment horizontal="left"/>
    </xf>
    <xf numFmtId="166" fontId="25" fillId="0" borderId="0" xfId="1" applyNumberFormat="1" applyFont="1" applyFill="1" applyBorder="1" applyProtection="1"/>
    <xf numFmtId="0" fontId="19" fillId="0" borderId="3" xfId="0" applyFont="1" applyBorder="1"/>
    <xf numFmtId="167" fontId="33" fillId="0" borderId="3" xfId="1" applyNumberFormat="1" applyFont="1" applyFill="1" applyBorder="1" applyProtection="1"/>
    <xf numFmtId="167" fontId="33" fillId="0" borderId="0" xfId="1" applyNumberFormat="1" applyFont="1" applyFill="1" applyProtection="1"/>
    <xf numFmtId="0" fontId="27" fillId="0" borderId="3" xfId="0" applyFont="1" applyBorder="1"/>
    <xf numFmtId="0" fontId="31" fillId="0" borderId="0" xfId="0" applyFont="1" applyAlignment="1">
      <alignment horizontal="center"/>
    </xf>
    <xf numFmtId="169" fontId="25" fillId="0" borderId="0" xfId="1" applyNumberFormat="1" applyFont="1" applyFill="1" applyBorder="1" applyProtection="1"/>
    <xf numFmtId="0" fontId="19" fillId="0" borderId="2" xfId="0" applyFont="1" applyBorder="1"/>
    <xf numFmtId="0" fontId="20" fillId="0" borderId="2" xfId="0" applyFont="1" applyBorder="1"/>
    <xf numFmtId="0" fontId="16" fillId="0" borderId="0" xfId="0" applyFont="1"/>
    <xf numFmtId="0" fontId="35" fillId="0" borderId="0" xfId="0" applyFont="1"/>
    <xf numFmtId="0" fontId="34" fillId="0" borderId="3" xfId="0" applyFont="1" applyBorder="1" applyAlignment="1">
      <alignment horizontal="left"/>
    </xf>
    <xf numFmtId="0" fontId="35" fillId="0" borderId="3" xfId="0" applyFont="1" applyBorder="1"/>
    <xf numFmtId="0" fontId="36" fillId="0" borderId="3" xfId="0" quotePrefix="1" applyFont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5" fillId="0" borderId="0" xfId="0" applyFont="1" applyBorder="1"/>
    <xf numFmtId="0" fontId="36" fillId="0" borderId="0" xfId="0" quotePrefix="1" applyFont="1" applyBorder="1" applyAlignment="1">
      <alignment horizontal="left"/>
    </xf>
    <xf numFmtId="0" fontId="32" fillId="0" borderId="0" xfId="0" quotePrefix="1" applyFont="1" applyBorder="1" applyAlignment="1">
      <alignment horizontal="left"/>
    </xf>
    <xf numFmtId="167" fontId="33" fillId="0" borderId="0" xfId="1" applyNumberFormat="1" applyFont="1" applyFill="1" applyBorder="1" applyProtection="1"/>
    <xf numFmtId="0" fontId="37" fillId="0" borderId="0" xfId="0" quotePrefix="1" applyFont="1" applyAlignment="1">
      <alignment horizontal="left"/>
    </xf>
    <xf numFmtId="0" fontId="20" fillId="0" borderId="0" xfId="0" applyFont="1" applyBorder="1"/>
    <xf numFmtId="170" fontId="19" fillId="0" borderId="0" xfId="0" applyNumberFormat="1" applyFont="1"/>
    <xf numFmtId="170" fontId="27" fillId="0" borderId="0" xfId="0" applyNumberFormat="1" applyFont="1"/>
    <xf numFmtId="0" fontId="19" fillId="0" borderId="0" xfId="0" applyNumberFormat="1" applyFont="1"/>
    <xf numFmtId="0" fontId="32" fillId="0" borderId="11" xfId="0" quotePrefix="1" applyFont="1" applyBorder="1" applyAlignment="1">
      <alignment horizontal="left"/>
    </xf>
    <xf numFmtId="0" fontId="19" fillId="0" borderId="11" xfId="0" applyFont="1" applyBorder="1"/>
    <xf numFmtId="167" fontId="33" fillId="0" borderId="11" xfId="1" applyNumberFormat="1" applyFont="1" applyFill="1" applyBorder="1" applyProtection="1"/>
    <xf numFmtId="164" fontId="37" fillId="0" borderId="0" xfId="0" applyNumberFormat="1" applyFont="1" applyBorder="1"/>
    <xf numFmtId="0" fontId="20" fillId="0" borderId="12" xfId="0" applyFont="1" applyBorder="1"/>
    <xf numFmtId="0" fontId="37" fillId="0" borderId="12" xfId="0" applyNumberFormat="1" applyFont="1" applyBorder="1"/>
    <xf numFmtId="37" fontId="41" fillId="0" borderId="0" xfId="0" applyNumberFormat="1" applyFont="1"/>
    <xf numFmtId="0" fontId="19" fillId="0" borderId="4" xfId="0" applyFont="1" applyBorder="1"/>
    <xf numFmtId="0" fontId="16" fillId="0" borderId="11" xfId="0" applyFont="1" applyBorder="1"/>
    <xf numFmtId="0" fontId="19" fillId="0" borderId="11" xfId="0" applyFont="1" applyBorder="1" applyAlignment="1">
      <alignment horizontal="left"/>
    </xf>
    <xf numFmtId="0" fontId="27" fillId="0" borderId="11" xfId="0" applyFont="1" applyBorder="1"/>
    <xf numFmtId="169" fontId="25" fillId="0" borderId="11" xfId="1" applyNumberFormat="1" applyFont="1" applyFill="1" applyBorder="1" applyProtection="1"/>
    <xf numFmtId="0" fontId="25" fillId="0" borderId="0" xfId="0" applyFont="1" applyBorder="1"/>
    <xf numFmtId="0" fontId="32" fillId="0" borderId="0" xfId="0" applyFont="1" applyBorder="1"/>
    <xf numFmtId="4" fontId="19" fillId="0" borderId="0" xfId="0" applyNumberFormat="1" applyFont="1"/>
    <xf numFmtId="0" fontId="43" fillId="0" borderId="0" xfId="0" applyFont="1"/>
    <xf numFmtId="0" fontId="39" fillId="0" borderId="0" xfId="0" quotePrefix="1" applyFont="1" applyAlignment="1">
      <alignment horizontal="left"/>
    </xf>
    <xf numFmtId="0" fontId="45" fillId="0" borderId="0" xfId="0" applyFont="1" applyAlignment="1">
      <alignment horizontal="right"/>
    </xf>
    <xf numFmtId="169" fontId="19" fillId="0" borderId="4" xfId="0" applyNumberFormat="1" applyFont="1" applyFill="1" applyBorder="1"/>
    <xf numFmtId="169" fontId="19" fillId="0" borderId="0" xfId="0" applyNumberFormat="1" applyFont="1" applyFill="1" applyBorder="1"/>
    <xf numFmtId="0" fontId="46" fillId="0" borderId="0" xfId="0" applyFont="1" applyAlignment="1">
      <alignment vertical="center"/>
    </xf>
    <xf numFmtId="0" fontId="25" fillId="0" borderId="5" xfId="0" applyFont="1" applyBorder="1"/>
    <xf numFmtId="0" fontId="19" fillId="0" borderId="14" xfId="0" applyFont="1" applyBorder="1" applyAlignment="1">
      <alignment horizontal="left"/>
    </xf>
    <xf numFmtId="0" fontId="19" fillId="0" borderId="14" xfId="0" applyFont="1" applyBorder="1"/>
    <xf numFmtId="0" fontId="25" fillId="0" borderId="7" xfId="0" applyFont="1" applyBorder="1"/>
    <xf numFmtId="0" fontId="19" fillId="0" borderId="12" xfId="0" applyFont="1" applyBorder="1"/>
    <xf numFmtId="4" fontId="19" fillId="0" borderId="0" xfId="1" applyNumberFormat="1" applyFont="1" applyFill="1" applyBorder="1" applyProtection="1"/>
    <xf numFmtId="4" fontId="25" fillId="0" borderId="0" xfId="1" applyNumberFormat="1" applyFont="1" applyFill="1" applyBorder="1" applyProtection="1"/>
    <xf numFmtId="0" fontId="47" fillId="0" borderId="5" xfId="0" applyFont="1" applyBorder="1" applyAlignment="1">
      <alignment horizontal="left" vertical="center"/>
    </xf>
    <xf numFmtId="171" fontId="48" fillId="2" borderId="10" xfId="0" applyNumberFormat="1" applyFont="1" applyFill="1" applyBorder="1" applyAlignment="1">
      <alignment vertical="center"/>
    </xf>
    <xf numFmtId="0" fontId="47" fillId="0" borderId="7" xfId="0" applyFont="1" applyBorder="1" applyAlignment="1">
      <alignment horizontal="left" vertical="center"/>
    </xf>
    <xf numFmtId="0" fontId="47" fillId="0" borderId="2" xfId="0" quotePrefix="1" applyFont="1" applyBorder="1" applyAlignment="1">
      <alignment horizontal="left" vertical="center"/>
    </xf>
    <xf numFmtId="0" fontId="47" fillId="0" borderId="2" xfId="0" applyFont="1" applyBorder="1" applyAlignment="1">
      <alignment vertical="center"/>
    </xf>
    <xf numFmtId="171" fontId="48" fillId="2" borderId="9" xfId="0" applyNumberFormat="1" applyFont="1" applyFill="1" applyBorder="1" applyAlignment="1">
      <alignment vertical="center"/>
    </xf>
    <xf numFmtId="0" fontId="47" fillId="0" borderId="0" xfId="0" applyFont="1" applyBorder="1" applyAlignment="1">
      <alignment horizontal="left" vertical="center"/>
    </xf>
    <xf numFmtId="0" fontId="47" fillId="0" borderId="0" xfId="0" quotePrefix="1" applyFont="1" applyBorder="1" applyAlignment="1">
      <alignment horizontal="left" vertical="center"/>
    </xf>
    <xf numFmtId="0" fontId="47" fillId="0" borderId="0" xfId="0" applyFont="1" applyBorder="1" applyAlignment="1">
      <alignment vertical="center"/>
    </xf>
    <xf numFmtId="171" fontId="48" fillId="3" borderId="0" xfId="0" applyNumberFormat="1" applyFont="1" applyFill="1" applyBorder="1" applyAlignment="1">
      <alignment vertical="center"/>
    </xf>
    <xf numFmtId="171" fontId="19" fillId="0" borderId="0" xfId="0" applyNumberFormat="1" applyFont="1"/>
    <xf numFmtId="0" fontId="25" fillId="0" borderId="13" xfId="0" applyFont="1" applyBorder="1"/>
    <xf numFmtId="165" fontId="49" fillId="2" borderId="8" xfId="0" applyNumberFormat="1" applyFont="1" applyFill="1" applyBorder="1"/>
    <xf numFmtId="0" fontId="48" fillId="0" borderId="0" xfId="0" applyFont="1"/>
    <xf numFmtId="0" fontId="50" fillId="0" borderId="0" xfId="0" quotePrefix="1" applyFont="1" applyAlignment="1">
      <alignment horizontal="right"/>
    </xf>
    <xf numFmtId="165" fontId="49" fillId="0" borderId="0" xfId="0" applyNumberFormat="1" applyFont="1"/>
    <xf numFmtId="37" fontId="51" fillId="0" borderId="0" xfId="0" applyNumberFormat="1" applyFont="1"/>
    <xf numFmtId="37" fontId="47" fillId="0" borderId="0" xfId="0" applyNumberFormat="1" applyFont="1"/>
    <xf numFmtId="37" fontId="52" fillId="0" borderId="0" xfId="0" applyNumberFormat="1" applyFont="1"/>
    <xf numFmtId="37" fontId="20" fillId="0" borderId="0" xfId="0" applyNumberFormat="1" applyFont="1"/>
    <xf numFmtId="37" fontId="31" fillId="0" borderId="0" xfId="0" applyNumberFormat="1" applyFont="1"/>
    <xf numFmtId="37" fontId="46" fillId="0" borderId="0" xfId="0" applyNumberFormat="1" applyFont="1"/>
    <xf numFmtId="37" fontId="48" fillId="0" borderId="0" xfId="0" applyNumberFormat="1" applyFont="1"/>
    <xf numFmtId="165" fontId="48" fillId="0" borderId="0" xfId="0" applyNumberFormat="1" applyFont="1"/>
    <xf numFmtId="37" fontId="52" fillId="0" borderId="4" xfId="0" applyNumberFormat="1" applyFont="1" applyBorder="1"/>
    <xf numFmtId="37" fontId="48" fillId="0" borderId="4" xfId="0" applyNumberFormat="1" applyFont="1" applyBorder="1"/>
    <xf numFmtId="37" fontId="31" fillId="0" borderId="4" xfId="0" applyNumberFormat="1" applyFont="1" applyBorder="1"/>
    <xf numFmtId="37" fontId="53" fillId="0" borderId="0" xfId="0" applyNumberFormat="1" applyFont="1"/>
    <xf numFmtId="37" fontId="54" fillId="0" borderId="2" xfId="0" applyNumberFormat="1" applyFont="1" applyBorder="1"/>
    <xf numFmtId="37" fontId="55" fillId="0" borderId="2" xfId="0" applyNumberFormat="1" applyFont="1" applyBorder="1"/>
    <xf numFmtId="37" fontId="53" fillId="0" borderId="2" xfId="0" applyNumberFormat="1" applyFont="1" applyBorder="1"/>
    <xf numFmtId="37" fontId="46" fillId="0" borderId="2" xfId="0" applyNumberFormat="1" applyFont="1" applyBorder="1"/>
    <xf numFmtId="4" fontId="25" fillId="0" borderId="0" xfId="0" applyNumberFormat="1" applyFont="1"/>
    <xf numFmtId="0" fontId="56" fillId="0" borderId="0" xfId="0" applyFont="1"/>
    <xf numFmtId="0" fontId="27" fillId="0" borderId="0" xfId="0" applyFont="1" applyBorder="1"/>
    <xf numFmtId="171" fontId="58" fillId="0" borderId="9" xfId="0" applyNumberFormat="1" applyFont="1" applyBorder="1"/>
    <xf numFmtId="169" fontId="58" fillId="2" borderId="10" xfId="0" applyNumberFormat="1" applyFont="1" applyFill="1" applyBorder="1"/>
    <xf numFmtId="169" fontId="58" fillId="2" borderId="9" xfId="0" applyNumberFormat="1" applyFont="1" applyFill="1" applyBorder="1"/>
    <xf numFmtId="0" fontId="58" fillId="0" borderId="0" xfId="0" applyFont="1"/>
    <xf numFmtId="0" fontId="37" fillId="0" borderId="0" xfId="0" applyFont="1"/>
    <xf numFmtId="0" fontId="37" fillId="0" borderId="3" xfId="0" quotePrefix="1" applyFont="1" applyBorder="1" applyAlignment="1">
      <alignment horizontal="left"/>
    </xf>
    <xf numFmtId="0" fontId="58" fillId="0" borderId="3" xfId="0" applyFont="1" applyBorder="1"/>
    <xf numFmtId="0" fontId="37" fillId="0" borderId="3" xfId="0" applyFont="1" applyBorder="1"/>
    <xf numFmtId="168" fontId="58" fillId="0" borderId="0" xfId="1" applyNumberFormat="1" applyFont="1" applyFill="1" applyBorder="1" applyProtection="1"/>
    <xf numFmtId="166" fontId="37" fillId="0" borderId="0" xfId="1" applyNumberFormat="1" applyFont="1" applyFill="1" applyBorder="1" applyProtection="1"/>
    <xf numFmtId="0" fontId="16" fillId="0" borderId="0" xfId="0" applyFont="1" applyBorder="1"/>
    <xf numFmtId="166" fontId="25" fillId="0" borderId="4" xfId="1" applyNumberFormat="1" applyFont="1" applyFill="1" applyBorder="1" applyProtection="1"/>
    <xf numFmtId="0" fontId="57" fillId="0" borderId="0" xfId="0" applyFont="1" applyAlignment="1">
      <alignment horizontal="left"/>
    </xf>
    <xf numFmtId="0" fontId="57" fillId="0" borderId="0" xfId="0" applyFont="1" applyBorder="1" applyAlignment="1">
      <alignment horizontal="left"/>
    </xf>
    <xf numFmtId="0" fontId="44" fillId="0" borderId="0" xfId="0" applyFont="1" applyBorder="1" applyAlignment="1">
      <alignment horizontal="left"/>
    </xf>
    <xf numFmtId="166" fontId="25" fillId="0" borderId="11" xfId="1" applyNumberFormat="1" applyFont="1" applyFill="1" applyBorder="1" applyProtection="1"/>
    <xf numFmtId="166" fontId="37" fillId="0" borderId="4" xfId="1" applyNumberFormat="1" applyFont="1" applyFill="1" applyBorder="1" applyProtection="1"/>
    <xf numFmtId="166" fontId="37" fillId="0" borderId="2" xfId="1" applyNumberFormat="1" applyFont="1" applyFill="1" applyBorder="1" applyProtection="1"/>
    <xf numFmtId="0" fontId="19" fillId="0" borderId="5" xfId="0" applyFont="1" applyBorder="1"/>
    <xf numFmtId="0" fontId="19" fillId="0" borderId="7" xfId="0" applyFont="1" applyBorder="1"/>
    <xf numFmtId="0" fontId="58" fillId="0" borderId="4" xfId="0" applyFont="1" applyBorder="1"/>
    <xf numFmtId="167" fontId="28" fillId="0" borderId="0" xfId="1" applyNumberFormat="1" applyFont="1" applyFill="1" applyBorder="1" applyProtection="1"/>
    <xf numFmtId="167" fontId="37" fillId="0" borderId="4" xfId="0" quotePrefix="1" applyNumberFormat="1" applyFont="1" applyBorder="1" applyAlignment="1">
      <alignment horizontal="left"/>
    </xf>
    <xf numFmtId="166" fontId="37" fillId="0" borderId="4" xfId="0" quotePrefix="1" applyNumberFormat="1" applyFont="1" applyBorder="1" applyAlignment="1">
      <alignment horizontal="left"/>
    </xf>
    <xf numFmtId="166" fontId="37" fillId="0" borderId="11" xfId="0" quotePrefix="1" applyNumberFormat="1" applyFont="1" applyBorder="1" applyAlignment="1">
      <alignment horizontal="left"/>
    </xf>
    <xf numFmtId="166" fontId="37" fillId="0" borderId="0" xfId="0" quotePrefix="1" applyNumberFormat="1" applyFont="1" applyBorder="1" applyAlignment="1"/>
    <xf numFmtId="166" fontId="37" fillId="0" borderId="4" xfId="0" quotePrefix="1" applyNumberFormat="1" applyFont="1" applyBorder="1" applyAlignment="1"/>
    <xf numFmtId="166" fontId="28" fillId="0" borderId="0" xfId="1" applyNumberFormat="1" applyFont="1" applyFill="1" applyBorder="1" applyAlignment="1" applyProtection="1"/>
    <xf numFmtId="165" fontId="37" fillId="0" borderId="0" xfId="0" quotePrefix="1" applyNumberFormat="1" applyFont="1" applyBorder="1" applyAlignment="1"/>
    <xf numFmtId="0" fontId="2" fillId="0" borderId="0" xfId="0" applyFont="1"/>
    <xf numFmtId="0" fontId="60" fillId="0" borderId="0" xfId="3" applyFont="1"/>
    <xf numFmtId="0" fontId="4" fillId="0" borderId="0" xfId="3" applyFont="1" applyAlignment="1">
      <alignment horizontal="centerContinuous"/>
    </xf>
    <xf numFmtId="0" fontId="61" fillId="0" borderId="0" xfId="3" applyFont="1" applyAlignment="1">
      <alignment horizontal="centerContinuous"/>
    </xf>
    <xf numFmtId="0" fontId="3" fillId="0" borderId="0" xfId="3" applyFont="1"/>
    <xf numFmtId="0" fontId="5" fillId="0" borderId="0" xfId="3" applyFont="1" applyAlignment="1">
      <alignment horizontal="centerContinuous"/>
    </xf>
    <xf numFmtId="0" fontId="3" fillId="0" borderId="1" xfId="3" applyFont="1" applyBorder="1"/>
    <xf numFmtId="0" fontId="3" fillId="0" borderId="1" xfId="3" applyFont="1" applyBorder="1" applyAlignment="1">
      <alignment horizontal="center"/>
    </xf>
    <xf numFmtId="0" fontId="13" fillId="0" borderId="0" xfId="3" quotePrefix="1" applyFont="1" applyAlignment="1">
      <alignment horizontal="left"/>
    </xf>
    <xf numFmtId="0" fontId="13" fillId="0" borderId="0" xfId="3" quotePrefix="1" applyFont="1" applyAlignment="1">
      <alignment horizontal="center"/>
    </xf>
    <xf numFmtId="0" fontId="3" fillId="0" borderId="5" xfId="3" applyFont="1" applyBorder="1"/>
    <xf numFmtId="0" fontId="3" fillId="0" borderId="4" xfId="3" applyFont="1" applyBorder="1"/>
    <xf numFmtId="0" fontId="3" fillId="0" borderId="4" xfId="3" applyFont="1" applyBorder="1" applyAlignment="1">
      <alignment horizontal="center"/>
    </xf>
    <xf numFmtId="0" fontId="3" fillId="0" borderId="6" xfId="3" applyFont="1" applyBorder="1" applyAlignment="1">
      <alignment horizontal="center"/>
    </xf>
    <xf numFmtId="0" fontId="6" fillId="0" borderId="2" xfId="3" applyFont="1" applyBorder="1" applyAlignment="1">
      <alignment horizontal="centerContinuous"/>
    </xf>
    <xf numFmtId="0" fontId="6" fillId="0" borderId="14" xfId="3" applyFont="1" applyBorder="1" applyAlignment="1">
      <alignment vertical="center"/>
    </xf>
    <xf numFmtId="0" fontId="6" fillId="0" borderId="0" xfId="3" applyFont="1"/>
    <xf numFmtId="0" fontId="42" fillId="2" borderId="0" xfId="3" applyFont="1" applyFill="1" applyAlignment="1">
      <alignment horizontal="center" vertical="center"/>
    </xf>
    <xf numFmtId="0" fontId="42" fillId="0" borderId="15" xfId="3" applyFont="1" applyBorder="1" applyAlignment="1">
      <alignment horizontal="center" vertical="center"/>
    </xf>
    <xf numFmtId="0" fontId="6" fillId="0" borderId="0" xfId="3" quotePrefix="1" applyFont="1" applyAlignment="1">
      <alignment horizontal="right"/>
    </xf>
    <xf numFmtId="0" fontId="6" fillId="0" borderId="7" xfId="3" applyFont="1" applyBorder="1"/>
    <xf numFmtId="0" fontId="6" fillId="0" borderId="2" xfId="3" applyFont="1" applyBorder="1"/>
    <xf numFmtId="0" fontId="6" fillId="0" borderId="2" xfId="3" applyFont="1" applyBorder="1" applyAlignment="1">
      <alignment horizontal="center"/>
    </xf>
    <xf numFmtId="0" fontId="6" fillId="0" borderId="16" xfId="3" applyFont="1" applyBorder="1" applyAlignment="1">
      <alignment horizontal="center"/>
    </xf>
    <xf numFmtId="0" fontId="8" fillId="0" borderId="0" xfId="3" quotePrefix="1" applyFont="1" applyAlignment="1">
      <alignment horizontal="right"/>
    </xf>
    <xf numFmtId="0" fontId="8" fillId="0" borderId="0" xfId="3" applyFont="1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6" fillId="0" borderId="0" xfId="3" applyFont="1" applyAlignment="1">
      <alignment horizontal="left" vertical="center"/>
    </xf>
    <xf numFmtId="0" fontId="42" fillId="0" borderId="0" xfId="3" applyFont="1" applyAlignment="1">
      <alignment horizontal="center"/>
    </xf>
    <xf numFmtId="0" fontId="6" fillId="0" borderId="0" xfId="3" quotePrefix="1" applyFont="1" applyAlignment="1">
      <alignment horizontal="left"/>
    </xf>
    <xf numFmtId="0" fontId="3" fillId="0" borderId="0" xfId="3" applyFont="1" applyAlignment="1">
      <alignment horizontal="left"/>
    </xf>
    <xf numFmtId="0" fontId="62" fillId="0" borderId="0" xfId="3" applyFont="1" applyAlignment="1">
      <alignment horizontal="center"/>
    </xf>
    <xf numFmtId="174" fontId="41" fillId="0" borderId="0" xfId="1" applyNumberFormat="1" applyFont="1" applyBorder="1" applyAlignment="1" applyProtection="1">
      <alignment horizontal="right"/>
    </xf>
    <xf numFmtId="174" fontId="63" fillId="0" borderId="0" xfId="1" applyNumberFormat="1" applyFont="1" applyBorder="1" applyAlignment="1" applyProtection="1">
      <alignment horizontal="right"/>
    </xf>
    <xf numFmtId="0" fontId="3" fillId="0" borderId="3" xfId="3" applyFont="1" applyBorder="1"/>
    <xf numFmtId="0" fontId="3" fillId="0" borderId="3" xfId="3" applyFont="1" applyBorder="1" applyAlignment="1">
      <alignment horizontal="center"/>
    </xf>
    <xf numFmtId="0" fontId="3" fillId="0" borderId="0" xfId="3" applyFont="1" applyAlignment="1">
      <alignment vertical="center"/>
    </xf>
    <xf numFmtId="0" fontId="42" fillId="0" borderId="0" xfId="3" applyFont="1" applyAlignment="1">
      <alignment horizontal="center" vertical="center"/>
    </xf>
    <xf numFmtId="0" fontId="6" fillId="0" borderId="0" xfId="3" applyFont="1" applyAlignment="1">
      <alignment horizontal="left"/>
    </xf>
    <xf numFmtId="171" fontId="40" fillId="0" borderId="0" xfId="0" applyNumberFormat="1" applyFont="1"/>
    <xf numFmtId="175" fontId="64" fillId="0" borderId="0" xfId="3" applyNumberFormat="1" applyFont="1"/>
    <xf numFmtId="0" fontId="3" fillId="0" borderId="0" xfId="3" quotePrefix="1" applyFont="1" applyAlignment="1">
      <alignment horizontal="left"/>
    </xf>
    <xf numFmtId="37" fontId="62" fillId="0" borderId="0" xfId="0" applyNumberFormat="1" applyFont="1"/>
    <xf numFmtId="0" fontId="6" fillId="2" borderId="13" xfId="0" applyNumberFormat="1" applyFont="1" applyFill="1" applyBorder="1" applyAlignment="1">
      <alignment vertical="center"/>
    </xf>
    <xf numFmtId="0" fontId="14" fillId="0" borderId="0" xfId="0" applyNumberFormat="1" applyFont="1"/>
    <xf numFmtId="0" fontId="3" fillId="0" borderId="0" xfId="0" applyNumberFormat="1" applyFont="1"/>
    <xf numFmtId="0" fontId="3" fillId="0" borderId="0" xfId="3" applyFont="1" applyBorder="1"/>
    <xf numFmtId="0" fontId="3" fillId="0" borderId="0" xfId="3" applyFont="1" applyBorder="1" applyAlignment="1">
      <alignment horizontal="center"/>
    </xf>
    <xf numFmtId="0" fontId="6" fillId="2" borderId="9" xfId="0" applyNumberFormat="1" applyFont="1" applyFill="1" applyBorder="1" applyAlignment="1">
      <alignment vertical="center"/>
    </xf>
    <xf numFmtId="10" fontId="41" fillId="2" borderId="17" xfId="0" applyNumberFormat="1" applyFont="1" applyFill="1" applyBorder="1"/>
    <xf numFmtId="10" fontId="41" fillId="2" borderId="18" xfId="0" applyNumberFormat="1" applyFont="1" applyFill="1" applyBorder="1"/>
    <xf numFmtId="10" fontId="41" fillId="2" borderId="19" xfId="0" applyNumberFormat="1" applyFont="1" applyFill="1" applyBorder="1"/>
    <xf numFmtId="10" fontId="41" fillId="2" borderId="20" xfId="0" applyNumberFormat="1" applyFont="1" applyFill="1" applyBorder="1"/>
    <xf numFmtId="10" fontId="41" fillId="2" borderId="21" xfId="0" applyNumberFormat="1" applyFont="1" applyFill="1" applyBorder="1"/>
    <xf numFmtId="10" fontId="41" fillId="2" borderId="22" xfId="0" applyNumberFormat="1" applyFont="1" applyFill="1" applyBorder="1"/>
    <xf numFmtId="10" fontId="41" fillId="2" borderId="3" xfId="0" applyNumberFormat="1" applyFont="1" applyFill="1" applyBorder="1"/>
    <xf numFmtId="10" fontId="41" fillId="2" borderId="23" xfId="0" applyNumberFormat="1" applyFont="1" applyFill="1" applyBorder="1"/>
    <xf numFmtId="10" fontId="6" fillId="2" borderId="13" xfId="0" applyNumberFormat="1" applyFont="1" applyFill="1" applyBorder="1" applyAlignment="1">
      <alignment vertical="center"/>
    </xf>
    <xf numFmtId="10" fontId="6" fillId="2" borderId="9" xfId="0" applyNumberFormat="1" applyFont="1" applyFill="1" applyBorder="1" applyAlignment="1">
      <alignment vertical="center"/>
    </xf>
    <xf numFmtId="0" fontId="58" fillId="0" borderId="0" xfId="0" applyFont="1" applyBorder="1" applyAlignment="1">
      <alignment horizontal="center" vertical="center"/>
    </xf>
    <xf numFmtId="0" fontId="58" fillId="0" borderId="0" xfId="0" applyFont="1" applyAlignment="1">
      <alignment horizontal="left"/>
    </xf>
    <xf numFmtId="0" fontId="58" fillId="0" borderId="0" xfId="0" quotePrefix="1" applyFont="1" applyAlignment="1">
      <alignment horizontal="left"/>
    </xf>
    <xf numFmtId="172" fontId="58" fillId="0" borderId="0" xfId="0" quotePrefix="1" applyNumberFormat="1" applyFont="1" applyBorder="1" applyAlignment="1">
      <alignment horizontal="left"/>
    </xf>
    <xf numFmtId="0" fontId="58" fillId="0" borderId="0" xfId="0" applyFont="1" applyBorder="1"/>
    <xf numFmtId="0" fontId="67" fillId="4" borderId="0" xfId="0" applyFont="1" applyFill="1"/>
    <xf numFmtId="0" fontId="68" fillId="4" borderId="0" xfId="0" applyFont="1" applyFill="1"/>
    <xf numFmtId="0" fontId="58" fillId="0" borderId="14" xfId="0" quotePrefix="1" applyFont="1" applyBorder="1" applyAlignment="1">
      <alignment horizontal="right"/>
    </xf>
    <xf numFmtId="0" fontId="58" fillId="0" borderId="14" xfId="0" applyFont="1" applyBorder="1"/>
    <xf numFmtId="0" fontId="58" fillId="0" borderId="7" xfId="0" applyFont="1" applyBorder="1"/>
    <xf numFmtId="0" fontId="58" fillId="0" borderId="2" xfId="0" applyFont="1" applyBorder="1"/>
    <xf numFmtId="0" fontId="68" fillId="4" borderId="15" xfId="0" applyFont="1" applyFill="1" applyBorder="1"/>
    <xf numFmtId="0" fontId="58" fillId="0" borderId="15" xfId="0" applyFont="1" applyBorder="1"/>
    <xf numFmtId="0" fontId="58" fillId="0" borderId="16" xfId="0" applyFont="1" applyBorder="1"/>
    <xf numFmtId="0" fontId="69" fillId="0" borderId="0" xfId="0" applyFont="1"/>
    <xf numFmtId="0" fontId="12" fillId="2" borderId="15" xfId="1" applyNumberFormat="1" applyFont="1" applyFill="1" applyBorder="1" applyProtection="1"/>
    <xf numFmtId="0" fontId="12" fillId="2" borderId="0" xfId="1" applyNumberFormat="1" applyFont="1" applyFill="1" applyBorder="1" applyProtection="1"/>
    <xf numFmtId="0" fontId="12" fillId="3" borderId="15" xfId="1" applyNumberFormat="1" applyFont="1" applyFill="1" applyBorder="1" applyProtection="1"/>
    <xf numFmtId="0" fontId="12" fillId="3" borderId="0" xfId="1" applyNumberFormat="1" applyFont="1" applyFill="1" applyBorder="1" applyProtection="1"/>
    <xf numFmtId="0" fontId="12" fillId="3" borderId="16" xfId="1" applyNumberFormat="1" applyFont="1" applyFill="1" applyBorder="1" applyProtection="1"/>
    <xf numFmtId="173" fontId="12" fillId="2" borderId="15" xfId="1" applyNumberFormat="1" applyFont="1" applyFill="1" applyBorder="1" applyProtection="1"/>
    <xf numFmtId="173" fontId="12" fillId="2" borderId="15" xfId="1" applyNumberFormat="1" applyFont="1" applyFill="1" applyBorder="1" applyAlignment="1" applyProtection="1">
      <alignment horizontal="right"/>
    </xf>
    <xf numFmtId="0" fontId="58" fillId="0" borderId="7" xfId="0" quotePrefix="1" applyFont="1" applyBorder="1" applyAlignment="1">
      <alignment horizontal="right"/>
    </xf>
    <xf numFmtId="172" fontId="58" fillId="0" borderId="2" xfId="0" quotePrefix="1" applyNumberFormat="1" applyFont="1" applyBorder="1" applyAlignment="1">
      <alignment horizontal="left"/>
    </xf>
    <xf numFmtId="173" fontId="12" fillId="2" borderId="16" xfId="1" applyNumberFormat="1" applyFont="1" applyFill="1" applyBorder="1" applyProtection="1"/>
    <xf numFmtId="0" fontId="58" fillId="0" borderId="4" xfId="0" quotePrefix="1" applyFont="1" applyBorder="1" applyAlignment="1">
      <alignment horizontal="right"/>
    </xf>
    <xf numFmtId="172" fontId="58" fillId="0" borderId="4" xfId="0" quotePrefix="1" applyNumberFormat="1" applyFont="1" applyBorder="1" applyAlignment="1">
      <alignment horizontal="left"/>
    </xf>
    <xf numFmtId="0" fontId="58" fillId="0" borderId="2" xfId="0" applyFont="1" applyBorder="1" applyAlignment="1">
      <alignment horizontal="left"/>
    </xf>
    <xf numFmtId="10" fontId="12" fillId="2" borderId="15" xfId="1" applyNumberFormat="1" applyFont="1" applyFill="1" applyBorder="1" applyAlignment="1" applyProtection="1">
      <alignment horizontal="right"/>
    </xf>
    <xf numFmtId="10" fontId="12" fillId="2" borderId="15" xfId="1" applyNumberFormat="1" applyFont="1" applyFill="1" applyBorder="1" applyProtection="1"/>
    <xf numFmtId="10" fontId="12" fillId="2" borderId="16" xfId="1" applyNumberFormat="1" applyFont="1" applyFill="1" applyBorder="1" applyProtection="1"/>
    <xf numFmtId="10" fontId="12" fillId="2" borderId="0" xfId="1" applyNumberFormat="1" applyFont="1" applyFill="1" applyBorder="1" applyProtection="1"/>
    <xf numFmtId="165" fontId="12" fillId="2" borderId="0" xfId="1" applyNumberFormat="1" applyFont="1" applyFill="1" applyBorder="1" applyProtection="1"/>
    <xf numFmtId="169" fontId="12" fillId="2" borderId="0" xfId="1" applyNumberFormat="1" applyFont="1" applyFill="1" applyBorder="1" applyProtection="1"/>
    <xf numFmtId="165" fontId="12" fillId="2" borderId="15" xfId="1" applyNumberFormat="1" applyFont="1" applyFill="1" applyBorder="1" applyProtection="1"/>
    <xf numFmtId="0" fontId="6" fillId="0" borderId="14" xfId="0" applyFont="1" applyBorder="1"/>
    <xf numFmtId="0" fontId="6" fillId="0" borderId="14" xfId="0" applyFont="1" applyBorder="1" applyAlignment="1">
      <alignment horizontal="left" vertical="center"/>
    </xf>
    <xf numFmtId="169" fontId="12" fillId="2" borderId="15" xfId="1" applyNumberFormat="1" applyFont="1" applyFill="1" applyBorder="1" applyProtection="1"/>
    <xf numFmtId="0" fontId="3" fillId="0" borderId="0" xfId="0" applyFont="1"/>
    <xf numFmtId="166" fontId="3" fillId="0" borderId="0" xfId="0" quotePrefix="1" applyNumberFormat="1" applyFont="1" applyBorder="1" applyAlignment="1"/>
    <xf numFmtId="166" fontId="6" fillId="0" borderId="11" xfId="1" applyNumberFormat="1" applyFont="1" applyFill="1" applyBorder="1" applyProtection="1"/>
    <xf numFmtId="0" fontId="10" fillId="0" borderId="0" xfId="0" quotePrefix="1" applyFont="1" applyBorder="1" applyAlignment="1">
      <alignment horizontal="left"/>
    </xf>
    <xf numFmtId="169" fontId="12" fillId="3" borderId="0" xfId="1" applyNumberFormat="1" applyFont="1" applyFill="1" applyBorder="1" applyProtection="1"/>
    <xf numFmtId="169" fontId="12" fillId="3" borderId="15" xfId="1" applyNumberFormat="1" applyFont="1" applyFill="1" applyBorder="1" applyProtection="1"/>
    <xf numFmtId="165" fontId="12" fillId="3" borderId="0" xfId="1" applyNumberFormat="1" applyFont="1" applyFill="1" applyBorder="1" applyProtection="1"/>
    <xf numFmtId="10" fontId="3" fillId="2" borderId="0" xfId="0" applyNumberFormat="1" applyFont="1" applyFill="1" applyBorder="1"/>
    <xf numFmtId="168" fontId="70" fillId="0" borderId="0" xfId="1" applyNumberFormat="1" applyFont="1" applyFill="1" applyBorder="1" applyProtection="1"/>
    <xf numFmtId="0" fontId="35" fillId="0" borderId="0" xfId="0" quotePrefix="1" applyFont="1"/>
    <xf numFmtId="170" fontId="12" fillId="2" borderId="0" xfId="1" applyNumberFormat="1" applyFont="1" applyFill="1" applyBorder="1" applyProtection="1"/>
    <xf numFmtId="170" fontId="12" fillId="2" borderId="4" xfId="1" applyNumberFormat="1" applyFont="1" applyFill="1" applyBorder="1" applyProtection="1"/>
    <xf numFmtId="170" fontId="3" fillId="2" borderId="0" xfId="1" applyNumberFormat="1" applyFont="1" applyFill="1" applyBorder="1" applyProtection="1"/>
    <xf numFmtId="170" fontId="3" fillId="2" borderId="4" xfId="1" applyNumberFormat="1" applyFont="1" applyFill="1" applyBorder="1" applyProtection="1"/>
    <xf numFmtId="170" fontId="3" fillId="0" borderId="0" xfId="0" applyNumberFormat="1" applyFont="1" applyAlignment="1">
      <alignment horizontal="centerContinuous"/>
    </xf>
    <xf numFmtId="170" fontId="6" fillId="2" borderId="0" xfId="2" quotePrefix="1" applyNumberFormat="1" applyFont="1" applyFill="1" applyAlignment="1">
      <alignment horizontal="right" vertical="center"/>
    </xf>
    <xf numFmtId="170" fontId="7" fillId="0" borderId="0" xfId="0" applyNumberFormat="1" applyFont="1" applyAlignment="1">
      <alignment horizontal="centerContinuous"/>
    </xf>
    <xf numFmtId="170" fontId="7" fillId="0" borderId="1" xfId="0" applyNumberFormat="1" applyFont="1" applyBorder="1" applyAlignment="1">
      <alignment horizontal="centerContinuous"/>
    </xf>
    <xf numFmtId="170" fontId="7" fillId="0" borderId="2" xfId="0" applyNumberFormat="1" applyFont="1" applyBorder="1" applyAlignment="1">
      <alignment horizontal="centerContinuous"/>
    </xf>
    <xf numFmtId="170" fontId="3" fillId="0" borderId="2" xfId="0" applyNumberFormat="1" applyFont="1" applyBorder="1" applyAlignment="1">
      <alignment horizontal="centerContinuous"/>
    </xf>
    <xf numFmtId="170" fontId="6" fillId="0" borderId="0" xfId="0" applyNumberFormat="1" applyFont="1"/>
    <xf numFmtId="170" fontId="3" fillId="0" borderId="0" xfId="0" applyNumberFormat="1" applyFont="1"/>
    <xf numFmtId="170" fontId="3" fillId="3" borderId="0" xfId="0" applyNumberFormat="1" applyFont="1" applyFill="1"/>
    <xf numFmtId="170" fontId="13" fillId="3" borderId="0" xfId="0" applyNumberFormat="1" applyFont="1" applyFill="1"/>
    <xf numFmtId="170" fontId="6" fillId="3" borderId="3" xfId="1" applyNumberFormat="1" applyFont="1" applyFill="1" applyBorder="1" applyProtection="1"/>
    <xf numFmtId="170" fontId="6" fillId="3" borderId="0" xfId="1" applyNumberFormat="1" applyFont="1" applyFill="1" applyProtection="1"/>
    <xf numFmtId="170" fontId="3" fillId="3" borderId="0" xfId="1" applyNumberFormat="1" applyFont="1" applyFill="1" applyProtection="1"/>
    <xf numFmtId="170" fontId="3" fillId="3" borderId="3" xfId="0" applyNumberFormat="1" applyFont="1" applyFill="1" applyBorder="1"/>
    <xf numFmtId="170" fontId="3" fillId="2" borderId="0" xfId="0" applyNumberFormat="1" applyFont="1" applyFill="1" applyBorder="1"/>
    <xf numFmtId="170" fontId="3" fillId="2" borderId="11" xfId="0" applyNumberFormat="1" applyFont="1" applyFill="1" applyBorder="1"/>
    <xf numFmtId="170" fontId="6" fillId="2" borderId="11" xfId="1" applyNumberFormat="1" applyFont="1" applyFill="1" applyBorder="1" applyProtection="1"/>
    <xf numFmtId="170" fontId="6" fillId="3" borderId="0" xfId="1" applyNumberFormat="1" applyFont="1" applyFill="1" applyBorder="1" applyProtection="1"/>
    <xf numFmtId="170" fontId="3" fillId="3" borderId="2" xfId="0" applyNumberFormat="1" applyFont="1" applyFill="1" applyBorder="1"/>
    <xf numFmtId="170" fontId="3" fillId="3" borderId="0" xfId="0" applyNumberFormat="1" applyFont="1" applyFill="1" applyAlignment="1">
      <alignment horizontal="centerContinuous"/>
    </xf>
    <xf numFmtId="170" fontId="7" fillId="3" borderId="0" xfId="0" applyNumberFormat="1" applyFont="1" applyFill="1" applyAlignment="1">
      <alignment horizontal="centerContinuous"/>
    </xf>
    <xf numFmtId="170" fontId="7" fillId="3" borderId="1" xfId="0" applyNumberFormat="1" applyFont="1" applyFill="1" applyBorder="1" applyAlignment="1">
      <alignment horizontal="centerContinuous"/>
    </xf>
    <xf numFmtId="170" fontId="7" fillId="3" borderId="2" xfId="0" applyNumberFormat="1" applyFont="1" applyFill="1" applyBorder="1" applyAlignment="1">
      <alignment horizontal="centerContinuous"/>
    </xf>
    <xf numFmtId="170" fontId="3" fillId="3" borderId="2" xfId="0" applyNumberFormat="1" applyFont="1" applyFill="1" applyBorder="1" applyAlignment="1">
      <alignment horizontal="centerContinuous"/>
    </xf>
    <xf numFmtId="170" fontId="6" fillId="3" borderId="0" xfId="0" applyNumberFormat="1" applyFont="1" applyFill="1" applyBorder="1"/>
    <xf numFmtId="170" fontId="3" fillId="2" borderId="4" xfId="0" applyNumberFormat="1" applyFont="1" applyFill="1" applyBorder="1"/>
    <xf numFmtId="170" fontId="3" fillId="3" borderId="0" xfId="1" applyNumberFormat="1" applyFont="1" applyFill="1" applyBorder="1" applyProtection="1"/>
    <xf numFmtId="170" fontId="3" fillId="3" borderId="4" xfId="0" applyNumberFormat="1" applyFont="1" applyFill="1" applyBorder="1"/>
    <xf numFmtId="170" fontId="3" fillId="3" borderId="6" xfId="0" applyNumberFormat="1" applyFont="1" applyFill="1" applyBorder="1"/>
    <xf numFmtId="170" fontId="3" fillId="2" borderId="0" xfId="1" applyNumberFormat="1" applyFont="1" applyFill="1" applyProtection="1"/>
    <xf numFmtId="170" fontId="3" fillId="0" borderId="0" xfId="0" quotePrefix="1" applyNumberFormat="1" applyFont="1" applyBorder="1" applyAlignment="1"/>
    <xf numFmtId="170" fontId="6" fillId="2" borderId="4" xfId="0" applyNumberFormat="1" applyFont="1" applyFill="1" applyBorder="1"/>
    <xf numFmtId="170" fontId="3" fillId="3" borderId="0" xfId="0" applyNumberFormat="1" applyFont="1" applyFill="1" applyBorder="1"/>
    <xf numFmtId="170" fontId="3" fillId="0" borderId="0" xfId="0" applyNumberFormat="1" applyFont="1" applyBorder="1"/>
    <xf numFmtId="170" fontId="3" fillId="2" borderId="6" xfId="0" applyNumberFormat="1" applyFont="1" applyFill="1" applyBorder="1"/>
    <xf numFmtId="170" fontId="3" fillId="2" borderId="15" xfId="0" applyNumberFormat="1" applyFont="1" applyFill="1" applyBorder="1"/>
    <xf numFmtId="170" fontId="3" fillId="2" borderId="2" xfId="0" applyNumberFormat="1" applyFont="1" applyFill="1" applyBorder="1"/>
    <xf numFmtId="170" fontId="3" fillId="2" borderId="16" xfId="0" applyNumberFormat="1" applyFont="1" applyFill="1" applyBorder="1"/>
    <xf numFmtId="170" fontId="6" fillId="0" borderId="11" xfId="1" applyNumberFormat="1" applyFont="1" applyFill="1" applyBorder="1" applyProtection="1"/>
    <xf numFmtId="170" fontId="3" fillId="0" borderId="2" xfId="0" applyNumberFormat="1" applyFont="1" applyBorder="1"/>
    <xf numFmtId="0" fontId="6" fillId="0" borderId="0" xfId="0" applyNumberFormat="1" applyFont="1"/>
    <xf numFmtId="0" fontId="6" fillId="3" borderId="0" xfId="0" applyNumberFormat="1" applyFont="1" applyFill="1" applyBorder="1"/>
    <xf numFmtId="0" fontId="6" fillId="0" borderId="0" xfId="0" applyNumberFormat="1" applyFont="1" applyFill="1" applyBorder="1"/>
    <xf numFmtId="10" fontId="41" fillId="2" borderId="0" xfId="0" applyNumberFormat="1" applyFont="1" applyFill="1" applyBorder="1"/>
    <xf numFmtId="170" fontId="25" fillId="2" borderId="4" xfId="0" applyNumberFormat="1" applyFont="1" applyFill="1" applyBorder="1"/>
    <xf numFmtId="165" fontId="12" fillId="3" borderId="15" xfId="1" applyNumberFormat="1" applyFont="1" applyFill="1" applyBorder="1" applyProtection="1"/>
    <xf numFmtId="170" fontId="35" fillId="0" borderId="0" xfId="0" applyNumberFormat="1" applyFont="1"/>
    <xf numFmtId="170" fontId="58" fillId="2" borderId="0" xfId="1" applyNumberFormat="1" applyFont="1" applyFill="1" applyProtection="1"/>
    <xf numFmtId="170" fontId="37" fillId="0" borderId="0" xfId="0" quotePrefix="1" applyNumberFormat="1" applyFont="1" applyBorder="1" applyAlignment="1"/>
    <xf numFmtId="170" fontId="38" fillId="2" borderId="0" xfId="0" applyNumberFormat="1" applyFont="1" applyFill="1"/>
    <xf numFmtId="176" fontId="58" fillId="2" borderId="12" xfId="1" applyNumberFormat="1" applyFont="1" applyFill="1" applyBorder="1" applyProtection="1"/>
    <xf numFmtId="0" fontId="71" fillId="0" borderId="0" xfId="0" applyFont="1" applyAlignment="1">
      <alignment horizontal="centerContinuous"/>
    </xf>
    <xf numFmtId="0" fontId="72" fillId="0" borderId="0" xfId="0" applyFont="1" applyAlignment="1">
      <alignment horizontal="centerContinuous"/>
    </xf>
    <xf numFmtId="0" fontId="72" fillId="0" borderId="1" xfId="0" applyFont="1" applyBorder="1" applyAlignment="1">
      <alignment horizontal="centerContinuous"/>
    </xf>
    <xf numFmtId="0" fontId="71" fillId="0" borderId="0" xfId="0" applyFont="1"/>
    <xf numFmtId="167" fontId="11" fillId="0" borderId="0" xfId="1" applyNumberFormat="1" applyFont="1" applyFill="1" applyBorder="1" applyProtection="1"/>
    <xf numFmtId="167" fontId="3" fillId="0" borderId="4" xfId="0" quotePrefix="1" applyNumberFormat="1" applyFont="1" applyBorder="1" applyAlignment="1">
      <alignment horizontal="left"/>
    </xf>
    <xf numFmtId="166" fontId="3" fillId="0" borderId="4" xfId="0" quotePrefix="1" applyNumberFormat="1" applyFont="1" applyBorder="1" applyAlignment="1"/>
    <xf numFmtId="166" fontId="11" fillId="0" borderId="0" xfId="1" applyNumberFormat="1" applyFont="1" applyFill="1" applyBorder="1" applyAlignment="1" applyProtection="1"/>
    <xf numFmtId="0" fontId="71" fillId="0" borderId="3" xfId="0" applyFont="1" applyBorder="1"/>
    <xf numFmtId="166" fontId="3" fillId="0" borderId="4" xfId="0" quotePrefix="1" applyNumberFormat="1" applyFont="1" applyBorder="1" applyAlignment="1">
      <alignment horizontal="left"/>
    </xf>
    <xf numFmtId="168" fontId="71" fillId="0" borderId="0" xfId="1" applyNumberFormat="1" applyFont="1" applyFill="1" applyProtection="1"/>
    <xf numFmtId="166" fontId="3" fillId="0" borderId="11" xfId="0" quotePrefix="1" applyNumberFormat="1" applyFont="1" applyBorder="1" applyAlignment="1">
      <alignment horizontal="left"/>
    </xf>
    <xf numFmtId="165" fontId="3" fillId="0" borderId="0" xfId="0" quotePrefix="1" applyNumberFormat="1" applyFont="1" applyBorder="1" applyAlignment="1"/>
    <xf numFmtId="169" fontId="6" fillId="0" borderId="11" xfId="1" applyNumberFormat="1" applyFont="1" applyFill="1" applyBorder="1" applyProtection="1"/>
    <xf numFmtId="0" fontId="71" fillId="0" borderId="2" xfId="0" applyFont="1" applyBorder="1"/>
    <xf numFmtId="166" fontId="3" fillId="0" borderId="4" xfId="1" applyNumberFormat="1" applyFont="1" applyFill="1" applyBorder="1" applyProtection="1"/>
    <xf numFmtId="0" fontId="73" fillId="0" borderId="0" xfId="0" applyFont="1"/>
    <xf numFmtId="0" fontId="71" fillId="0" borderId="11" xfId="0" applyFont="1" applyBorder="1"/>
    <xf numFmtId="167" fontId="15" fillId="0" borderId="0" xfId="1" applyNumberFormat="1" applyFont="1" applyFill="1" applyBorder="1" applyProtection="1"/>
    <xf numFmtId="0" fontId="71" fillId="0" borderId="4" xfId="0" applyFont="1" applyBorder="1"/>
    <xf numFmtId="176" fontId="71" fillId="2" borderId="12" xfId="1" applyNumberFormat="1" applyFont="1" applyFill="1" applyBorder="1" applyProtection="1"/>
    <xf numFmtId="170" fontId="71" fillId="2" borderId="0" xfId="1" applyNumberFormat="1" applyFont="1" applyFill="1" applyProtection="1"/>
    <xf numFmtId="170" fontId="6" fillId="2" borderId="11" xfId="0" applyNumberFormat="1" applyFont="1" applyFill="1" applyBorder="1"/>
    <xf numFmtId="166" fontId="3" fillId="2" borderId="4" xfId="0" applyNumberFormat="1" applyFont="1" applyFill="1" applyBorder="1"/>
    <xf numFmtId="0" fontId="71" fillId="0" borderId="0" xfId="0" applyNumberFormat="1" applyFont="1"/>
    <xf numFmtId="166" fontId="6" fillId="0" borderId="4" xfId="1" applyNumberFormat="1" applyFont="1" applyFill="1" applyBorder="1" applyProtection="1"/>
    <xf numFmtId="0" fontId="71" fillId="0" borderId="0" xfId="0" applyFont="1" applyBorder="1"/>
    <xf numFmtId="166" fontId="3" fillId="0" borderId="0" xfId="1" applyNumberFormat="1" applyFont="1" applyFill="1" applyBorder="1" applyProtection="1"/>
    <xf numFmtId="166" fontId="3" fillId="0" borderId="2" xfId="1" applyNumberFormat="1" applyFont="1" applyFill="1" applyBorder="1" applyProtection="1"/>
    <xf numFmtId="10" fontId="3" fillId="2" borderId="0" xfId="1" applyNumberFormat="1" applyFont="1" applyFill="1" applyBorder="1" applyProtection="1"/>
    <xf numFmtId="170" fontId="25" fillId="2" borderId="11" xfId="0" applyNumberFormat="1" applyFont="1" applyFill="1" applyBorder="1"/>
    <xf numFmtId="170" fontId="25" fillId="2" borderId="0" xfId="0" applyNumberFormat="1" applyFont="1" applyFill="1" applyBorder="1"/>
    <xf numFmtId="166" fontId="3" fillId="2" borderId="0" xfId="0" applyNumberFormat="1" applyFont="1" applyFill="1" applyBorder="1"/>
    <xf numFmtId="170" fontId="71" fillId="3" borderId="0" xfId="1" applyNumberFormat="1" applyFont="1" applyFill="1" applyProtection="1"/>
    <xf numFmtId="170" fontId="17" fillId="2" borderId="4" xfId="1" applyNumberFormat="1" applyFont="1" applyFill="1" applyBorder="1" applyProtection="1"/>
    <xf numFmtId="170" fontId="71" fillId="2" borderId="15" xfId="1" applyNumberFormat="1" applyFont="1" applyFill="1" applyBorder="1" applyProtection="1"/>
    <xf numFmtId="170" fontId="17" fillId="2" borderId="11" xfId="1" applyNumberFormat="1" applyFont="1" applyFill="1" applyBorder="1" applyProtection="1"/>
    <xf numFmtId="170" fontId="17" fillId="2" borderId="8" xfId="1" applyNumberFormat="1" applyFont="1" applyFill="1" applyBorder="1" applyProtection="1"/>
    <xf numFmtId="170" fontId="17" fillId="2" borderId="0" xfId="1" applyNumberFormat="1" applyFont="1" applyFill="1" applyProtection="1"/>
    <xf numFmtId="0" fontId="25" fillId="0" borderId="14" xfId="0" applyFont="1" applyBorder="1" applyAlignment="1">
      <alignment horizontal="left"/>
    </xf>
    <xf numFmtId="0" fontId="25" fillId="0" borderId="5" xfId="0" applyFont="1" applyBorder="1" applyAlignment="1">
      <alignment horizontal="left"/>
    </xf>
    <xf numFmtId="0" fontId="27" fillId="0" borderId="4" xfId="0" applyFont="1" applyBorder="1"/>
    <xf numFmtId="170" fontId="3" fillId="3" borderId="4" xfId="1" applyNumberFormat="1" applyFont="1" applyFill="1" applyBorder="1" applyProtection="1"/>
    <xf numFmtId="170" fontId="3" fillId="3" borderId="6" xfId="1" applyNumberFormat="1" applyFont="1" applyFill="1" applyBorder="1" applyProtection="1"/>
    <xf numFmtId="166" fontId="11" fillId="0" borderId="4" xfId="1" applyNumberFormat="1" applyFont="1" applyFill="1" applyBorder="1" applyProtection="1"/>
    <xf numFmtId="10" fontId="3" fillId="3" borderId="0" xfId="0" applyNumberFormat="1" applyFont="1" applyFill="1"/>
    <xf numFmtId="166" fontId="12" fillId="2" borderId="0" xfId="1" applyNumberFormat="1" applyFont="1" applyFill="1" applyBorder="1" applyProtection="1"/>
    <xf numFmtId="166" fontId="12" fillId="2" borderId="15" xfId="1" applyNumberFormat="1" applyFont="1" applyFill="1" applyBorder="1" applyProtection="1"/>
    <xf numFmtId="166" fontId="3" fillId="2" borderId="0" xfId="1" applyNumberFormat="1" applyFont="1" applyFill="1" applyBorder="1" applyProtection="1"/>
    <xf numFmtId="0" fontId="6" fillId="0" borderId="7" xfId="0" applyFont="1" applyBorder="1" applyAlignment="1">
      <alignment horizontal="left" vertical="center"/>
    </xf>
    <xf numFmtId="0" fontId="10" fillId="0" borderId="2" xfId="0" quotePrefix="1" applyFont="1" applyBorder="1" applyAlignment="1">
      <alignment horizontal="left"/>
    </xf>
    <xf numFmtId="165" fontId="12" fillId="2" borderId="2" xfId="1" applyNumberFormat="1" applyFont="1" applyFill="1" applyBorder="1" applyProtection="1"/>
    <xf numFmtId="165" fontId="12" fillId="2" borderId="16" xfId="1" applyNumberFormat="1" applyFont="1" applyFill="1" applyBorder="1" applyProtection="1"/>
    <xf numFmtId="10" fontId="3" fillId="2" borderId="15" xfId="0" applyNumberFormat="1" applyFont="1" applyFill="1" applyBorder="1"/>
    <xf numFmtId="10" fontId="28" fillId="0" borderId="0" xfId="1" applyNumberFormat="1" applyFont="1" applyFill="1" applyBorder="1" applyProtection="1"/>
    <xf numFmtId="0" fontId="25" fillId="0" borderId="7" xfId="0" applyFont="1" applyBorder="1" applyAlignment="1">
      <alignment horizontal="left"/>
    </xf>
    <xf numFmtId="10" fontId="28" fillId="0" borderId="2" xfId="1" applyNumberFormat="1" applyFont="1" applyFill="1" applyBorder="1" applyProtection="1"/>
    <xf numFmtId="10" fontId="3" fillId="2" borderId="2" xfId="0" applyNumberFormat="1" applyFont="1" applyFill="1" applyBorder="1"/>
    <xf numFmtId="10" fontId="3" fillId="2" borderId="16" xfId="0" applyNumberFormat="1" applyFont="1" applyFill="1" applyBorder="1"/>
    <xf numFmtId="177" fontId="12" fillId="2" borderId="15" xfId="1" applyNumberFormat="1" applyFont="1" applyFill="1" applyBorder="1" applyProtection="1"/>
    <xf numFmtId="178" fontId="12" fillId="2" borderId="15" xfId="1" applyNumberFormat="1" applyFont="1" applyFill="1" applyBorder="1" applyProtection="1"/>
    <xf numFmtId="0" fontId="74" fillId="0" borderId="0" xfId="0" applyFont="1"/>
    <xf numFmtId="0" fontId="25" fillId="3" borderId="0" xfId="0" applyFont="1" applyFill="1" applyAlignment="1">
      <alignment horizontal="left"/>
    </xf>
    <xf numFmtId="0" fontId="19" fillId="3" borderId="0" xfId="0" applyFont="1" applyFill="1"/>
    <xf numFmtId="0" fontId="27" fillId="3" borderId="0" xfId="0" applyFont="1" applyFill="1"/>
    <xf numFmtId="0" fontId="58" fillId="3" borderId="0" xfId="0" applyFont="1" applyFill="1"/>
    <xf numFmtId="0" fontId="26" fillId="3" borderId="0" xfId="0" applyFont="1" applyFill="1"/>
    <xf numFmtId="0" fontId="9" fillId="3" borderId="0" xfId="0" applyFont="1" applyFill="1"/>
    <xf numFmtId="167" fontId="28" fillId="3" borderId="0" xfId="1" applyNumberFormat="1" applyFont="1" applyFill="1" applyBorder="1" applyProtection="1"/>
    <xf numFmtId="167" fontId="11" fillId="3" borderId="0" xfId="1" applyNumberFormat="1" applyFont="1" applyFill="1" applyBorder="1" applyProtection="1"/>
    <xf numFmtId="170" fontId="12" fillId="3" borderId="0" xfId="1" applyNumberFormat="1" applyFont="1" applyFill="1" applyBorder="1" applyProtection="1"/>
    <xf numFmtId="0" fontId="19" fillId="3" borderId="3" xfId="0" applyFont="1" applyFill="1" applyBorder="1"/>
    <xf numFmtId="166" fontId="37" fillId="3" borderId="0" xfId="0" quotePrefix="1" applyNumberFormat="1" applyFont="1" applyFill="1" applyBorder="1" applyAlignment="1"/>
    <xf numFmtId="166" fontId="3" fillId="3" borderId="0" xfId="0" quotePrefix="1" applyNumberFormat="1" applyFont="1" applyFill="1" applyBorder="1" applyAlignment="1"/>
    <xf numFmtId="0" fontId="25" fillId="3" borderId="0" xfId="0" applyFont="1" applyFill="1" applyBorder="1" applyAlignment="1">
      <alignment horizontal="left"/>
    </xf>
    <xf numFmtId="0" fontId="19" fillId="3" borderId="0" xfId="0" applyFont="1" applyFill="1" applyBorder="1"/>
    <xf numFmtId="0" fontId="27" fillId="3" borderId="0" xfId="0" applyFont="1" applyFill="1" applyBorder="1"/>
    <xf numFmtId="170" fontId="13" fillId="3" borderId="0" xfId="0" applyNumberFormat="1" applyFont="1" applyFill="1" applyBorder="1"/>
    <xf numFmtId="0" fontId="16" fillId="3" borderId="0" xfId="0" applyFont="1" applyFill="1" applyBorder="1"/>
    <xf numFmtId="167" fontId="37" fillId="3" borderId="0" xfId="0" quotePrefix="1" applyNumberFormat="1" applyFont="1" applyFill="1" applyBorder="1" applyAlignment="1">
      <alignment horizontal="left"/>
    </xf>
    <xf numFmtId="167" fontId="3" fillId="3" borderId="0" xfId="0" quotePrefix="1" applyNumberFormat="1" applyFont="1" applyFill="1" applyBorder="1" applyAlignment="1">
      <alignment horizontal="left"/>
    </xf>
    <xf numFmtId="0" fontId="37" fillId="3" borderId="0" xfId="0" applyFont="1" applyFill="1" applyBorder="1"/>
    <xf numFmtId="0" fontId="58" fillId="3" borderId="0" xfId="0" applyFont="1" applyFill="1" applyBorder="1"/>
    <xf numFmtId="165" fontId="29" fillId="3" borderId="0" xfId="0" applyNumberFormat="1" applyFont="1" applyFill="1" applyBorder="1"/>
    <xf numFmtId="165" fontId="30" fillId="3" borderId="0" xfId="0" applyNumberFormat="1" applyFont="1" applyFill="1" applyBorder="1"/>
    <xf numFmtId="165" fontId="13" fillId="3" borderId="0" xfId="0" applyNumberFormat="1" applyFont="1" applyFill="1" applyBorder="1"/>
    <xf numFmtId="0" fontId="35" fillId="3" borderId="0" xfId="0" applyFont="1" applyFill="1" applyBorder="1"/>
    <xf numFmtId="0" fontId="36" fillId="3" borderId="0" xfId="0" quotePrefix="1" applyFont="1" applyFill="1" applyBorder="1" applyAlignment="1">
      <alignment horizontal="left"/>
    </xf>
    <xf numFmtId="0" fontId="37" fillId="3" borderId="0" xfId="0" quotePrefix="1" applyFont="1" applyFill="1" applyBorder="1" applyAlignment="1">
      <alignment horizontal="left"/>
    </xf>
    <xf numFmtId="167" fontId="33" fillId="3" borderId="0" xfId="1" applyNumberFormat="1" applyFont="1" applyFill="1" applyBorder="1" applyProtection="1"/>
    <xf numFmtId="167" fontId="15" fillId="3" borderId="0" xfId="1" applyNumberFormat="1" applyFont="1" applyFill="1" applyBorder="1" applyProtection="1"/>
    <xf numFmtId="0" fontId="25" fillId="3" borderId="0" xfId="0" quotePrefix="1" applyFont="1" applyFill="1" applyBorder="1" applyAlignment="1">
      <alignment horizontal="left"/>
    </xf>
    <xf numFmtId="0" fontId="32" fillId="3" borderId="0" xfId="0" quotePrefix="1" applyFont="1" applyFill="1" applyBorder="1" applyAlignment="1">
      <alignment horizontal="left"/>
    </xf>
    <xf numFmtId="0" fontId="71" fillId="3" borderId="0" xfId="0" applyFont="1" applyFill="1" applyBorder="1"/>
    <xf numFmtId="165" fontId="25" fillId="2" borderId="4" xfId="1" applyNumberFormat="1" applyFont="1" applyFill="1" applyBorder="1" applyProtection="1"/>
    <xf numFmtId="10" fontId="25" fillId="2" borderId="11" xfId="1" applyNumberFormat="1" applyFont="1" applyFill="1" applyBorder="1" applyProtection="1"/>
    <xf numFmtId="0" fontId="16" fillId="3" borderId="3" xfId="0" applyFont="1" applyFill="1" applyBorder="1"/>
    <xf numFmtId="0" fontId="27" fillId="3" borderId="3" xfId="0" applyFont="1" applyFill="1" applyBorder="1"/>
    <xf numFmtId="166" fontId="37" fillId="3" borderId="3" xfId="0" quotePrefix="1" applyNumberFormat="1" applyFont="1" applyFill="1" applyBorder="1" applyAlignment="1"/>
    <xf numFmtId="166" fontId="3" fillId="3" borderId="3" xfId="0" quotePrefix="1" applyNumberFormat="1" applyFont="1" applyFill="1" applyBorder="1" applyAlignment="1"/>
    <xf numFmtId="167" fontId="37" fillId="0" borderId="2" xfId="0" quotePrefix="1" applyNumberFormat="1" applyFont="1" applyBorder="1" applyAlignment="1">
      <alignment horizontal="left"/>
    </xf>
    <xf numFmtId="167" fontId="3" fillId="0" borderId="2" xfId="0" quotePrefix="1" applyNumberFormat="1" applyFont="1" applyBorder="1" applyAlignment="1">
      <alignment horizontal="left"/>
    </xf>
    <xf numFmtId="170" fontId="3" fillId="2" borderId="2" xfId="1" applyNumberFormat="1" applyFont="1" applyFill="1" applyBorder="1" applyProtection="1"/>
    <xf numFmtId="170" fontId="25" fillId="2" borderId="0" xfId="1" applyNumberFormat="1" applyFont="1" applyFill="1" applyBorder="1" applyProtection="1"/>
    <xf numFmtId="0" fontId="75" fillId="3" borderId="0" xfId="0" applyFont="1" applyFill="1" applyBorder="1" applyAlignment="1">
      <alignment horizontal="left"/>
    </xf>
    <xf numFmtId="10" fontId="3" fillId="3" borderId="0" xfId="1" applyNumberFormat="1" applyFont="1" applyFill="1" applyBorder="1" applyProtection="1"/>
    <xf numFmtId="166" fontId="3" fillId="2" borderId="2" xfId="1" applyNumberFormat="1" applyFont="1" applyFill="1" applyBorder="1" applyProtection="1"/>
    <xf numFmtId="170" fontId="25" fillId="2" borderId="4" xfId="1" applyNumberFormat="1" applyFont="1" applyFill="1" applyBorder="1" applyProtection="1"/>
    <xf numFmtId="10" fontId="30" fillId="2" borderId="0" xfId="1" applyNumberFormat="1" applyFont="1" applyFill="1" applyBorder="1" applyProtection="1"/>
    <xf numFmtId="170" fontId="25" fillId="3" borderId="0" xfId="1" applyNumberFormat="1" applyFont="1" applyFill="1" applyBorder="1" applyProtection="1"/>
    <xf numFmtId="10" fontId="30" fillId="3" borderId="0" xfId="1" applyNumberFormat="1" applyFont="1" applyFill="1" applyBorder="1" applyProtection="1"/>
    <xf numFmtId="167" fontId="37" fillId="0" borderId="0" xfId="0" quotePrefix="1" applyNumberFormat="1" applyFont="1" applyBorder="1" applyAlignment="1">
      <alignment horizontal="left"/>
    </xf>
    <xf numFmtId="167" fontId="3" fillId="0" borderId="0" xfId="0" quotePrefix="1" applyNumberFormat="1" applyFont="1" applyBorder="1" applyAlignment="1">
      <alignment horizontal="left"/>
    </xf>
    <xf numFmtId="166" fontId="3" fillId="3" borderId="0" xfId="1" applyNumberFormat="1" applyFont="1" applyFill="1" applyBorder="1" applyProtection="1"/>
    <xf numFmtId="180" fontId="3" fillId="2" borderId="0" xfId="1" applyNumberFormat="1" applyFont="1" applyFill="1" applyBorder="1" applyProtection="1"/>
    <xf numFmtId="170" fontId="25" fillId="2" borderId="11" xfId="1" applyNumberFormat="1" applyFont="1" applyFill="1" applyBorder="1" applyProtection="1"/>
    <xf numFmtId="178" fontId="12" fillId="2" borderId="0" xfId="1" applyNumberFormat="1" applyFont="1" applyFill="1" applyBorder="1" applyProtection="1"/>
    <xf numFmtId="14" fontId="58" fillId="0" borderId="0" xfId="0" applyNumberFormat="1" applyFont="1"/>
    <xf numFmtId="170" fontId="12" fillId="3" borderId="3" xfId="1" applyNumberFormat="1" applyFont="1" applyFill="1" applyBorder="1" applyProtection="1"/>
    <xf numFmtId="0" fontId="0" fillId="0" borderId="3" xfId="0" applyBorder="1"/>
    <xf numFmtId="0" fontId="17" fillId="0" borderId="0" xfId="0" applyFont="1" applyAlignment="1">
      <alignment horizontal="center"/>
    </xf>
    <xf numFmtId="181" fontId="3" fillId="2" borderId="0" xfId="0" applyNumberFormat="1" applyFont="1" applyFill="1" applyBorder="1"/>
    <xf numFmtId="181" fontId="3" fillId="3" borderId="0" xfId="0" applyNumberFormat="1" applyFont="1" applyFill="1" applyBorder="1"/>
    <xf numFmtId="0" fontId="76" fillId="0" borderId="0" xfId="0" applyFont="1"/>
    <xf numFmtId="0" fontId="62" fillId="0" borderId="0" xfId="0" applyFont="1"/>
    <xf numFmtId="164" fontId="6" fillId="0" borderId="0" xfId="0" applyNumberFormat="1" applyFont="1"/>
    <xf numFmtId="0" fontId="77" fillId="0" borderId="0" xfId="0" applyFont="1"/>
    <xf numFmtId="0" fontId="76" fillId="3" borderId="0" xfId="0" applyFont="1" applyFill="1" applyBorder="1"/>
    <xf numFmtId="0" fontId="62" fillId="3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Alignment="1">
      <alignment horizontal="left"/>
    </xf>
    <xf numFmtId="0" fontId="78" fillId="3" borderId="0" xfId="0" applyFont="1" applyFill="1" applyBorder="1"/>
    <xf numFmtId="0" fontId="3" fillId="3" borderId="0" xfId="0" applyFont="1" applyFill="1"/>
    <xf numFmtId="0" fontId="77" fillId="3" borderId="0" xfId="0" applyFont="1" applyFill="1" applyBorder="1"/>
    <xf numFmtId="167" fontId="3" fillId="3" borderId="0" xfId="1" applyNumberFormat="1" applyFont="1" applyFill="1" applyBorder="1" applyProtection="1"/>
    <xf numFmtId="0" fontId="6" fillId="3" borderId="0" xfId="0" applyFont="1" applyFill="1" applyBorder="1" applyAlignment="1">
      <alignment horizontal="left"/>
    </xf>
    <xf numFmtId="0" fontId="77" fillId="3" borderId="3" xfId="0" applyFont="1" applyFill="1" applyBorder="1"/>
    <xf numFmtId="0" fontId="76" fillId="3" borderId="3" xfId="0" applyFont="1" applyFill="1" applyBorder="1"/>
    <xf numFmtId="0" fontId="78" fillId="3" borderId="3" xfId="0" applyFont="1" applyFill="1" applyBorder="1"/>
    <xf numFmtId="0" fontId="25" fillId="3" borderId="0" xfId="0" applyFont="1" applyFill="1"/>
    <xf numFmtId="0" fontId="39" fillId="3" borderId="0" xfId="0" applyFont="1" applyFill="1" applyBorder="1"/>
    <xf numFmtId="0" fontId="44" fillId="3" borderId="0" xfId="0" applyFont="1" applyFill="1" applyBorder="1"/>
    <xf numFmtId="167" fontId="25" fillId="3" borderId="0" xfId="1" applyNumberFormat="1" applyFont="1" applyFill="1" applyBorder="1" applyProtection="1"/>
    <xf numFmtId="0" fontId="0" fillId="0" borderId="2" xfId="0" applyBorder="1"/>
    <xf numFmtId="10" fontId="3" fillId="3" borderId="2" xfId="1" applyNumberFormat="1" applyFont="1" applyFill="1" applyBorder="1" applyProtection="1"/>
    <xf numFmtId="178" fontId="3" fillId="3" borderId="6" xfId="1" applyNumberFormat="1" applyFont="1" applyFill="1" applyBorder="1" applyProtection="1"/>
    <xf numFmtId="178" fontId="3" fillId="3" borderId="15" xfId="1" applyNumberFormat="1" applyFont="1" applyFill="1" applyBorder="1" applyProtection="1"/>
    <xf numFmtId="10" fontId="3" fillId="3" borderId="6" xfId="1" applyNumberFormat="1" applyFont="1" applyFill="1" applyBorder="1" applyProtection="1"/>
    <xf numFmtId="10" fontId="3" fillId="3" borderId="15" xfId="1" applyNumberFormat="1" applyFont="1" applyFill="1" applyBorder="1" applyProtection="1"/>
    <xf numFmtId="170" fontId="37" fillId="3" borderId="0" xfId="0" applyNumberFormat="1" applyFont="1" applyFill="1" applyBorder="1"/>
    <xf numFmtId="170" fontId="37" fillId="3" borderId="0" xfId="1" applyNumberFormat="1" applyFont="1" applyFill="1" applyBorder="1" applyProtection="1"/>
    <xf numFmtId="0" fontId="25" fillId="0" borderId="2" xfId="2" applyFont="1" applyBorder="1" applyAlignment="1">
      <alignment vertical="center"/>
    </xf>
    <xf numFmtId="164" fontId="25" fillId="0" borderId="2" xfId="0" applyNumberFormat="1" applyFont="1" applyBorder="1"/>
    <xf numFmtId="165" fontId="79" fillId="2" borderId="0" xfId="0" applyNumberFormat="1" applyFont="1" applyFill="1" applyBorder="1"/>
    <xf numFmtId="165" fontId="79" fillId="3" borderId="0" xfId="0" applyNumberFormat="1" applyFont="1" applyFill="1" applyBorder="1"/>
    <xf numFmtId="0" fontId="25" fillId="0" borderId="0" xfId="2" applyFont="1" applyAlignment="1">
      <alignment horizontal="centerContinuous"/>
    </xf>
    <xf numFmtId="0" fontId="80" fillId="0" borderId="0" xfId="2" applyFont="1" applyAlignment="1">
      <alignment horizontal="centerContinuous"/>
    </xf>
    <xf numFmtId="0" fontId="81" fillId="0" borderId="0" xfId="2" applyFont="1" applyAlignment="1">
      <alignment horizontal="centerContinuous"/>
    </xf>
    <xf numFmtId="0" fontId="37" fillId="0" borderId="0" xfId="2" applyFont="1"/>
    <xf numFmtId="0" fontId="37" fillId="0" borderId="5" xfId="2" applyFont="1" applyBorder="1" applyAlignment="1">
      <alignment vertical="center"/>
    </xf>
    <xf numFmtId="0" fontId="37" fillId="0" borderId="4" xfId="2" applyFont="1" applyBorder="1" applyAlignment="1">
      <alignment vertical="center"/>
    </xf>
    <xf numFmtId="0" fontId="75" fillId="0" borderId="11" xfId="2" applyFont="1" applyBorder="1" applyAlignment="1">
      <alignment horizontal="centerContinuous" vertical="center"/>
    </xf>
    <xf numFmtId="0" fontId="30" fillId="0" borderId="11" xfId="2" applyFont="1" applyBorder="1" applyAlignment="1">
      <alignment horizontal="centerContinuous" vertical="center"/>
    </xf>
    <xf numFmtId="0" fontId="37" fillId="0" borderId="6" xfId="2" applyFont="1" applyBorder="1" applyAlignment="1">
      <alignment vertical="center"/>
    </xf>
    <xf numFmtId="0" fontId="37" fillId="0" borderId="14" xfId="2" applyFont="1" applyBorder="1" applyAlignment="1">
      <alignment vertical="center"/>
    </xf>
    <xf numFmtId="0" fontId="37" fillId="0" borderId="2" xfId="2" applyFont="1" applyBorder="1" applyAlignment="1">
      <alignment vertical="center"/>
    </xf>
    <xf numFmtId="0" fontId="37" fillId="0" borderId="15" xfId="2" applyFont="1" applyBorder="1" applyAlignment="1">
      <alignment vertical="center"/>
    </xf>
    <xf numFmtId="0" fontId="37" fillId="0" borderId="14" xfId="2" applyFont="1" applyBorder="1"/>
    <xf numFmtId="164" fontId="50" fillId="0" borderId="0" xfId="0" applyNumberFormat="1" applyFont="1"/>
    <xf numFmtId="182" fontId="50" fillId="0" borderId="0" xfId="0" quotePrefix="1" applyNumberFormat="1" applyFont="1" applyAlignment="1">
      <alignment horizontal="right"/>
    </xf>
    <xf numFmtId="0" fontId="50" fillId="0" borderId="0" xfId="0" applyFont="1"/>
    <xf numFmtId="0" fontId="37" fillId="0" borderId="15" xfId="2" applyFont="1" applyBorder="1"/>
    <xf numFmtId="0" fontId="25" fillId="0" borderId="0" xfId="2" applyFont="1"/>
    <xf numFmtId="0" fontId="43" fillId="0" borderId="0" xfId="2" applyFont="1"/>
    <xf numFmtId="176" fontId="37" fillId="2" borderId="0" xfId="0" applyNumberFormat="1" applyFont="1" applyFill="1" applyBorder="1"/>
    <xf numFmtId="0" fontId="79" fillId="0" borderId="0" xfId="2" applyFont="1"/>
    <xf numFmtId="0" fontId="82" fillId="0" borderId="0" xfId="2" applyFont="1"/>
    <xf numFmtId="0" fontId="37" fillId="0" borderId="0" xfId="2" applyFont="1" applyBorder="1"/>
    <xf numFmtId="170" fontId="37" fillId="2" borderId="0" xfId="0" applyNumberFormat="1" applyFont="1" applyFill="1" applyBorder="1" applyAlignment="1">
      <alignment horizontal="centerContinuous"/>
    </xf>
    <xf numFmtId="181" fontId="3" fillId="2" borderId="0" xfId="0" applyNumberFormat="1" applyFont="1" applyFill="1" applyBorder="1" applyAlignment="1">
      <alignment horizontal="centerContinuous"/>
    </xf>
    <xf numFmtId="0" fontId="19" fillId="0" borderId="15" xfId="0" applyFont="1" applyBorder="1"/>
    <xf numFmtId="0" fontId="35" fillId="0" borderId="15" xfId="0" applyFont="1" applyBorder="1"/>
    <xf numFmtId="0" fontId="19" fillId="0" borderId="16" xfId="0" applyFont="1" applyBorder="1"/>
    <xf numFmtId="0" fontId="68" fillId="4" borderId="5" xfId="2" applyFont="1" applyFill="1" applyBorder="1" applyAlignment="1">
      <alignment vertical="center"/>
    </xf>
    <xf numFmtId="0" fontId="68" fillId="4" borderId="4" xfId="2" applyFont="1" applyFill="1" applyBorder="1" applyAlignment="1">
      <alignment vertical="center"/>
    </xf>
    <xf numFmtId="0" fontId="68" fillId="4" borderId="6" xfId="2" applyFont="1" applyFill="1" applyBorder="1" applyAlignment="1">
      <alignment vertical="center"/>
    </xf>
    <xf numFmtId="0" fontId="68" fillId="4" borderId="14" xfId="2" applyFont="1" applyFill="1" applyBorder="1" applyAlignment="1">
      <alignment vertical="center"/>
    </xf>
    <xf numFmtId="0" fontId="68" fillId="4" borderId="2" xfId="2" applyFont="1" applyFill="1" applyBorder="1" applyAlignment="1">
      <alignment vertical="center"/>
    </xf>
    <xf numFmtId="0" fontId="67" fillId="4" borderId="2" xfId="2" applyFont="1" applyFill="1" applyBorder="1" applyAlignment="1">
      <alignment vertical="center"/>
    </xf>
    <xf numFmtId="164" fontId="67" fillId="4" borderId="2" xfId="0" applyNumberFormat="1" applyFont="1" applyFill="1" applyBorder="1"/>
    <xf numFmtId="0" fontId="68" fillId="4" borderId="15" xfId="2" applyFont="1" applyFill="1" applyBorder="1" applyAlignment="1">
      <alignment vertical="center"/>
    </xf>
    <xf numFmtId="0" fontId="84" fillId="4" borderId="24" xfId="2" applyFont="1" applyFill="1" applyBorder="1" applyAlignment="1">
      <alignment horizontal="centerContinuous" vertical="center"/>
    </xf>
    <xf numFmtId="0" fontId="83" fillId="4" borderId="24" xfId="2" applyFont="1" applyFill="1" applyBorder="1" applyAlignment="1">
      <alignment horizontal="centerContinuous" vertical="center"/>
    </xf>
    <xf numFmtId="0" fontId="37" fillId="0" borderId="0" xfId="2" applyFont="1" applyAlignment="1">
      <alignment horizontal="centerContinuous"/>
    </xf>
    <xf numFmtId="0" fontId="3" fillId="0" borderId="2" xfId="3" applyFont="1" applyBorder="1" applyAlignment="1">
      <alignment horizontal="centerContinuous"/>
    </xf>
    <xf numFmtId="0" fontId="19" fillId="0" borderId="2" xfId="0" applyFont="1" applyBorder="1" applyAlignment="1">
      <alignment horizontal="centerContinuous"/>
    </xf>
    <xf numFmtId="1" fontId="67" fillId="4" borderId="2" xfId="0" applyNumberFormat="1" applyFont="1" applyFill="1" applyBorder="1"/>
    <xf numFmtId="179" fontId="12" fillId="2" borderId="16" xfId="1" applyNumberFormat="1" applyFont="1" applyFill="1" applyBorder="1" applyProtection="1"/>
    <xf numFmtId="176" fontId="12" fillId="2" borderId="0" xfId="1" applyNumberFormat="1" applyFont="1" applyFill="1" applyBorder="1" applyProtection="1"/>
    <xf numFmtId="176" fontId="12" fillId="2" borderId="18" xfId="1" applyNumberFormat="1" applyFont="1" applyFill="1" applyBorder="1" applyProtection="1"/>
    <xf numFmtId="176" fontId="12" fillId="2" borderId="17" xfId="1" applyNumberFormat="1" applyFont="1" applyFill="1" applyBorder="1" applyProtection="1"/>
    <xf numFmtId="176" fontId="12" fillId="2" borderId="20" xfId="1" applyNumberFormat="1" applyFont="1" applyFill="1" applyBorder="1" applyProtection="1"/>
    <xf numFmtId="176" fontId="12" fillId="2" borderId="22" xfId="1" applyNumberFormat="1" applyFont="1" applyFill="1" applyBorder="1" applyProtection="1"/>
    <xf numFmtId="176" fontId="12" fillId="2" borderId="3" xfId="1" applyNumberFormat="1" applyFont="1" applyFill="1" applyBorder="1" applyProtection="1"/>
    <xf numFmtId="176" fontId="12" fillId="2" borderId="19" xfId="1" applyNumberFormat="1" applyFont="1" applyFill="1" applyBorder="1" applyProtection="1"/>
    <xf numFmtId="176" fontId="12" fillId="2" borderId="21" xfId="1" applyNumberFormat="1" applyFont="1" applyFill="1" applyBorder="1" applyProtection="1"/>
    <xf numFmtId="176" fontId="12" fillId="2" borderId="23" xfId="1" applyNumberFormat="1" applyFont="1" applyFill="1" applyBorder="1" applyProtection="1"/>
    <xf numFmtId="0" fontId="75" fillId="0" borderId="0" xfId="0" applyFont="1" applyAlignment="1"/>
    <xf numFmtId="170" fontId="25" fillId="2" borderId="4" xfId="1" applyNumberFormat="1" applyFont="1" applyFill="1" applyBorder="1" applyAlignment="1" applyProtection="1">
      <alignment horizontal="center"/>
    </xf>
    <xf numFmtId="10" fontId="12" fillId="2" borderId="17" xfId="1" applyNumberFormat="1" applyFont="1" applyFill="1" applyBorder="1" applyProtection="1"/>
    <xf numFmtId="10" fontId="12" fillId="2" borderId="18" xfId="1" applyNumberFormat="1" applyFont="1" applyFill="1" applyBorder="1" applyProtection="1"/>
    <xf numFmtId="10" fontId="12" fillId="2" borderId="19" xfId="1" applyNumberFormat="1" applyFont="1" applyFill="1" applyBorder="1" applyProtection="1"/>
    <xf numFmtId="10" fontId="12" fillId="2" borderId="20" xfId="1" applyNumberFormat="1" applyFont="1" applyFill="1" applyBorder="1" applyProtection="1"/>
    <xf numFmtId="10" fontId="12" fillId="2" borderId="21" xfId="1" applyNumberFormat="1" applyFont="1" applyFill="1" applyBorder="1" applyProtection="1"/>
    <xf numFmtId="10" fontId="12" fillId="2" borderId="22" xfId="1" applyNumberFormat="1" applyFont="1" applyFill="1" applyBorder="1" applyProtection="1"/>
    <xf numFmtId="10" fontId="12" fillId="2" borderId="3" xfId="1" applyNumberFormat="1" applyFont="1" applyFill="1" applyBorder="1" applyProtection="1"/>
    <xf numFmtId="10" fontId="12" fillId="2" borderId="23" xfId="1" applyNumberFormat="1" applyFont="1" applyFill="1" applyBorder="1" applyProtection="1"/>
  </cellXfs>
  <cellStyles count="4">
    <cellStyle name="Comma" xfId="1" builtinId="3"/>
    <cellStyle name="Normal" xfId="0" builtinId="0"/>
    <cellStyle name="Normal_DrydenNewDCF3" xfId="2" xr:uid="{5CB5E82B-4ED0-4CFF-A784-CD9C28EFA3A7}"/>
    <cellStyle name="Normal_TrainingDCF1" xfId="3" xr:uid="{C98FF738-602C-4A27-9A3E-2E9D5F73F5B9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26" fmlaLink="$D$7" fmlaRange="$C$14:$C$16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6</xdr:row>
          <xdr:rowOff>0</xdr:rowOff>
        </xdr:from>
        <xdr:to>
          <xdr:col>4</xdr:col>
          <xdr:colOff>190500</xdr:colOff>
          <xdr:row>7</xdr:row>
          <xdr:rowOff>22860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ADA4-A0BD-4F0D-9F68-FBDDD6292B84}">
  <dimension ref="B2:AI132"/>
  <sheetViews>
    <sheetView showGridLines="0" zoomScale="64" workbookViewId="0">
      <selection activeCell="AL33" sqref="AL33"/>
    </sheetView>
  </sheetViews>
  <sheetFormatPr defaultRowHeight="13.8" x14ac:dyDescent="0.25"/>
  <cols>
    <col min="1" max="3" width="8.88671875" style="19"/>
    <col min="4" max="4" width="18.77734375" style="19" customWidth="1"/>
    <col min="5" max="19" width="8.88671875" style="19"/>
    <col min="20" max="20" width="8.88671875" style="19" customWidth="1"/>
    <col min="21" max="21" width="8.88671875" style="19"/>
    <col min="22" max="22" width="18.77734375" style="19" customWidth="1"/>
    <col min="23" max="16384" width="8.88671875" style="19"/>
  </cols>
  <sheetData>
    <row r="2" spans="2:35" ht="22.8" x14ac:dyDescent="0.4">
      <c r="B2" s="165" t="s">
        <v>312</v>
      </c>
      <c r="C2" s="166"/>
      <c r="D2" s="166"/>
      <c r="E2" s="166"/>
      <c r="F2" s="166"/>
      <c r="G2" s="166"/>
      <c r="H2" s="166"/>
      <c r="I2" s="166"/>
      <c r="J2" s="166"/>
      <c r="K2" s="166"/>
      <c r="L2" s="17"/>
      <c r="M2" s="17"/>
      <c r="N2" s="17"/>
      <c r="O2" s="17"/>
      <c r="P2" s="17"/>
      <c r="Q2" s="17"/>
      <c r="T2" s="481" t="str">
        <f>"SUMMMARY VALUES - "&amp;UPPER(CHOOSE(Scenarios!$D$7,Scenarios!C14,Scenarios!C15,Scenarios!C16))</f>
        <v>SUMMMARY VALUES - BASE CASE</v>
      </c>
      <c r="U2" s="482"/>
      <c r="V2" s="482"/>
      <c r="W2" s="482"/>
      <c r="X2" s="482"/>
      <c r="Y2" s="482"/>
      <c r="Z2" s="482"/>
      <c r="AA2" s="483"/>
      <c r="AB2" s="483"/>
      <c r="AC2" s="483"/>
      <c r="AD2" s="483"/>
      <c r="AE2" s="483"/>
      <c r="AF2" s="483"/>
      <c r="AG2" s="483"/>
      <c r="AH2" s="483"/>
      <c r="AI2" s="484"/>
    </row>
    <row r="3" spans="2:35" ht="17.399999999999999" x14ac:dyDescent="0.3">
      <c r="B3" s="168" t="s">
        <v>311</v>
      </c>
      <c r="C3" s="168"/>
      <c r="D3" s="168"/>
      <c r="E3" s="168"/>
      <c r="F3" s="168"/>
      <c r="G3" s="168"/>
      <c r="H3" s="168"/>
      <c r="I3" s="168"/>
      <c r="J3" s="168"/>
      <c r="K3" s="168"/>
      <c r="L3" s="17"/>
      <c r="M3" s="17"/>
      <c r="N3" s="17"/>
      <c r="O3" s="17"/>
      <c r="P3" s="17"/>
      <c r="Q3" s="17"/>
      <c r="T3" s="485"/>
      <c r="U3" s="486"/>
      <c r="V3" s="486"/>
      <c r="W3" s="486"/>
      <c r="X3" s="486"/>
      <c r="Y3" s="486"/>
      <c r="Z3" s="486"/>
      <c r="AA3" s="486"/>
      <c r="AB3" s="486"/>
      <c r="AC3" s="486"/>
      <c r="AD3" s="487" t="s">
        <v>1</v>
      </c>
      <c r="AE3" s="488"/>
      <c r="AF3" s="488"/>
      <c r="AG3" s="488"/>
      <c r="AH3" s="488"/>
      <c r="AI3" s="489"/>
    </row>
    <row r="4" spans="2:35" x14ac:dyDescent="0.25">
      <c r="B4" s="520"/>
      <c r="C4" s="520"/>
      <c r="D4" s="520"/>
      <c r="E4" s="520"/>
      <c r="F4" s="520"/>
      <c r="G4" s="520"/>
      <c r="H4" s="520"/>
      <c r="I4" s="520"/>
      <c r="J4" s="520"/>
      <c r="K4" s="520"/>
      <c r="L4" s="521"/>
      <c r="M4" s="521"/>
      <c r="N4" s="521"/>
      <c r="O4" s="521"/>
      <c r="P4" s="521"/>
      <c r="Q4" s="521"/>
      <c r="T4" s="490"/>
      <c r="U4" s="491"/>
      <c r="V4" s="491"/>
      <c r="W4" s="491"/>
      <c r="X4" s="477" t="s">
        <v>310</v>
      </c>
      <c r="Y4" s="478">
        <f>Model!G7</f>
        <v>2020</v>
      </c>
      <c r="Z4" s="478">
        <f>Model!H7</f>
        <v>2021</v>
      </c>
      <c r="AA4" s="478">
        <f>Model!I7</f>
        <v>2022</v>
      </c>
      <c r="AB4" s="478">
        <f>Model!J7</f>
        <v>2023</v>
      </c>
      <c r="AC4" s="478">
        <f>Model!K7</f>
        <v>2024</v>
      </c>
      <c r="AD4" s="477">
        <f>Model!L7</f>
        <v>2025</v>
      </c>
      <c r="AE4" s="477">
        <f>Model!M7</f>
        <v>2026</v>
      </c>
      <c r="AF4" s="477">
        <f>Model!N7</f>
        <v>2027</v>
      </c>
      <c r="AG4" s="477">
        <f>Model!O7</f>
        <v>2028</v>
      </c>
      <c r="AH4" s="477">
        <f>Model!P7</f>
        <v>2029</v>
      </c>
      <c r="AI4" s="492"/>
    </row>
    <row r="5" spans="2:35" x14ac:dyDescent="0.25">
      <c r="T5" s="493"/>
      <c r="U5" s="484"/>
      <c r="V5" s="484"/>
      <c r="W5" s="484"/>
      <c r="X5" s="484"/>
      <c r="Y5" s="484"/>
      <c r="Z5" s="484"/>
      <c r="AA5" s="494"/>
      <c r="AB5" s="494"/>
      <c r="AC5" s="495"/>
      <c r="AD5" s="496"/>
      <c r="AE5" s="496"/>
      <c r="AF5" s="496"/>
      <c r="AG5" s="496"/>
      <c r="AH5" s="496"/>
      <c r="AI5" s="497"/>
    </row>
    <row r="6" spans="2:35" ht="17.399999999999999" x14ac:dyDescent="0.3">
      <c r="B6" s="481" t="s">
        <v>313</v>
      </c>
      <c r="C6" s="482"/>
      <c r="D6" s="482"/>
      <c r="E6" s="482"/>
      <c r="F6" s="482"/>
      <c r="G6" s="482"/>
      <c r="H6" s="482"/>
      <c r="I6" s="483"/>
      <c r="J6" s="483"/>
      <c r="K6" s="483"/>
      <c r="L6" s="483"/>
      <c r="M6" s="483"/>
      <c r="N6" s="483"/>
      <c r="O6" s="483"/>
      <c r="P6" s="483"/>
      <c r="Q6" s="519"/>
      <c r="T6" s="493"/>
      <c r="U6" s="484"/>
      <c r="V6" s="484"/>
      <c r="W6" s="484"/>
      <c r="X6" s="484"/>
      <c r="Y6" s="484"/>
      <c r="Z6" s="484"/>
      <c r="AA6" s="494"/>
      <c r="AB6" s="494"/>
      <c r="AC6" s="495"/>
      <c r="AD6" s="496"/>
      <c r="AE6" s="496"/>
      <c r="AF6" s="496"/>
      <c r="AG6" s="496"/>
      <c r="AH6" s="496"/>
      <c r="AI6" s="497"/>
    </row>
    <row r="7" spans="2:35" x14ac:dyDescent="0.25">
      <c r="B7" s="509"/>
      <c r="C7" s="510"/>
      <c r="D7" s="510"/>
      <c r="E7" s="510"/>
      <c r="F7" s="510"/>
      <c r="G7" s="510"/>
      <c r="H7" s="510"/>
      <c r="I7" s="510"/>
      <c r="J7" s="510"/>
      <c r="K7" s="510"/>
      <c r="L7" s="518" t="s">
        <v>1</v>
      </c>
      <c r="M7" s="517"/>
      <c r="N7" s="517"/>
      <c r="O7" s="517"/>
      <c r="P7" s="517"/>
      <c r="Q7" s="511"/>
      <c r="T7" s="493"/>
      <c r="U7" s="498" t="s">
        <v>49</v>
      </c>
      <c r="V7" s="484"/>
      <c r="W7" s="484"/>
      <c r="X7" s="484"/>
      <c r="Y7" s="484"/>
      <c r="Z7" s="484"/>
      <c r="AA7" s="484"/>
      <c r="AB7" s="484"/>
      <c r="AC7" s="484"/>
      <c r="AD7" s="484"/>
      <c r="AE7" s="484"/>
      <c r="AF7" s="484"/>
      <c r="AG7" s="484"/>
      <c r="AH7" s="484"/>
      <c r="AI7" s="497"/>
    </row>
    <row r="8" spans="2:35" x14ac:dyDescent="0.25">
      <c r="B8" s="512"/>
      <c r="C8" s="514" t="s">
        <v>314</v>
      </c>
      <c r="D8" s="513"/>
      <c r="E8" s="513"/>
      <c r="F8" s="514" t="s">
        <v>310</v>
      </c>
      <c r="G8" s="515">
        <f>Y4</f>
        <v>2020</v>
      </c>
      <c r="H8" s="515">
        <f t="shared" ref="H8:P8" si="0">Z4</f>
        <v>2021</v>
      </c>
      <c r="I8" s="515">
        <f t="shared" si="0"/>
        <v>2022</v>
      </c>
      <c r="J8" s="515">
        <f t="shared" si="0"/>
        <v>2023</v>
      </c>
      <c r="K8" s="515">
        <f t="shared" si="0"/>
        <v>2024</v>
      </c>
      <c r="L8" s="522">
        <f t="shared" si="0"/>
        <v>2025</v>
      </c>
      <c r="M8" s="522">
        <f t="shared" si="0"/>
        <v>2026</v>
      </c>
      <c r="N8" s="522">
        <f t="shared" si="0"/>
        <v>2027</v>
      </c>
      <c r="O8" s="522">
        <f t="shared" si="0"/>
        <v>2028</v>
      </c>
      <c r="P8" s="522">
        <f t="shared" si="0"/>
        <v>2029</v>
      </c>
      <c r="Q8" s="516"/>
      <c r="T8" s="493"/>
      <c r="U8" s="498"/>
      <c r="V8" s="484"/>
      <c r="W8" s="484"/>
      <c r="X8" s="484"/>
      <c r="Y8" s="484"/>
      <c r="Z8" s="484"/>
      <c r="AA8" s="484"/>
      <c r="AB8" s="484"/>
      <c r="AC8" s="484"/>
      <c r="AD8" s="484"/>
      <c r="AE8" s="484"/>
      <c r="AF8" s="484"/>
      <c r="AG8" s="484"/>
      <c r="AH8" s="484"/>
      <c r="AI8" s="497"/>
    </row>
    <row r="9" spans="2:35" x14ac:dyDescent="0.25">
      <c r="B9" s="493"/>
      <c r="C9" s="484"/>
      <c r="D9" s="484"/>
      <c r="E9" s="484"/>
      <c r="F9" s="484"/>
      <c r="G9" s="484"/>
      <c r="H9" s="484"/>
      <c r="I9" s="494"/>
      <c r="J9" s="494"/>
      <c r="K9" s="495"/>
      <c r="L9" s="496"/>
      <c r="M9" s="496"/>
      <c r="N9" s="496"/>
      <c r="O9" s="496"/>
      <c r="P9" s="496"/>
      <c r="Q9" s="497"/>
      <c r="T9" s="493"/>
      <c r="U9" s="484"/>
      <c r="V9" s="498" t="s">
        <v>6</v>
      </c>
      <c r="W9" s="499"/>
      <c r="X9" s="499"/>
      <c r="Y9" s="500">
        <f>Model!G261</f>
        <v>13978.5</v>
      </c>
      <c r="Z9" s="500">
        <f>Model!H261</f>
        <v>18611</v>
      </c>
      <c r="AA9" s="500">
        <f>Model!I261</f>
        <v>21173.4</v>
      </c>
      <c r="AB9" s="500">
        <f>Model!J261</f>
        <v>27558.5</v>
      </c>
      <c r="AC9" s="500">
        <f>Model!K261</f>
        <v>28262.9</v>
      </c>
      <c r="AD9" s="500">
        <f>Model!L261</f>
        <v>31660.43535</v>
      </c>
      <c r="AE9" s="500">
        <f>Model!M261</f>
        <v>36796.818463999996</v>
      </c>
      <c r="AF9" s="500">
        <f>Model!N261</f>
        <v>42290.181162959998</v>
      </c>
      <c r="AG9" s="500">
        <f>Model!O261</f>
        <v>46605.462560659202</v>
      </c>
      <c r="AH9" s="500">
        <f>Model!P261</f>
        <v>50624.160760024286</v>
      </c>
      <c r="AI9" s="497"/>
    </row>
    <row r="10" spans="2:35" x14ac:dyDescent="0.25">
      <c r="B10" s="493"/>
      <c r="C10" s="484"/>
      <c r="D10" s="484"/>
      <c r="E10" s="484"/>
      <c r="F10" s="484"/>
      <c r="G10" s="484"/>
      <c r="H10" s="484"/>
      <c r="I10" s="494"/>
      <c r="J10" s="494"/>
      <c r="K10" s="495"/>
      <c r="L10" s="496"/>
      <c r="M10" s="496"/>
      <c r="N10" s="496"/>
      <c r="O10" s="496"/>
      <c r="P10" s="496"/>
      <c r="Q10" s="497"/>
      <c r="T10" s="493"/>
      <c r="U10" s="484"/>
      <c r="V10" s="501" t="s">
        <v>296</v>
      </c>
      <c r="W10" s="502"/>
      <c r="X10" s="502"/>
      <c r="Y10" s="502"/>
      <c r="Z10" s="479">
        <f>Z9/Y9-1</f>
        <v>0.33140179561469396</v>
      </c>
      <c r="AA10" s="479">
        <f t="shared" ref="AA10:AH10" si="1">AA9/Z9-1</f>
        <v>0.137682016012036</v>
      </c>
      <c r="AB10" s="479">
        <f t="shared" si="1"/>
        <v>0.30156233765007023</v>
      </c>
      <c r="AC10" s="479">
        <f t="shared" si="1"/>
        <v>2.5560171997750292E-2</v>
      </c>
      <c r="AD10" s="479">
        <f t="shared" si="1"/>
        <v>0.1202118448566849</v>
      </c>
      <c r="AE10" s="479">
        <f t="shared" si="1"/>
        <v>0.16223349607225157</v>
      </c>
      <c r="AF10" s="479">
        <f t="shared" si="1"/>
        <v>0.149289067051664</v>
      </c>
      <c r="AG10" s="479">
        <f t="shared" si="1"/>
        <v>0.1020397945582403</v>
      </c>
      <c r="AH10" s="479">
        <f t="shared" si="1"/>
        <v>8.6228050931466571E-2</v>
      </c>
      <c r="AI10" s="497"/>
    </row>
    <row r="11" spans="2:35" x14ac:dyDescent="0.25">
      <c r="B11" s="493"/>
      <c r="C11" s="498" t="s">
        <v>49</v>
      </c>
      <c r="D11" s="484"/>
      <c r="E11" s="484"/>
      <c r="F11" s="484"/>
      <c r="G11" s="484"/>
      <c r="H11" s="484"/>
      <c r="I11" s="484"/>
      <c r="J11" s="484"/>
      <c r="K11" s="484"/>
      <c r="L11" s="484"/>
      <c r="M11" s="484"/>
      <c r="N11" s="484"/>
      <c r="O11" s="484"/>
      <c r="P11" s="484"/>
      <c r="Q11" s="497"/>
      <c r="T11" s="493"/>
      <c r="U11" s="484"/>
      <c r="V11" s="484"/>
      <c r="W11" s="484"/>
      <c r="X11" s="484"/>
      <c r="Y11" s="484"/>
      <c r="Z11" s="484"/>
      <c r="AA11" s="484"/>
      <c r="AB11" s="484"/>
      <c r="AC11" s="484"/>
      <c r="AD11" s="484"/>
      <c r="AE11" s="484"/>
      <c r="AF11" s="484"/>
      <c r="AG11" s="484"/>
      <c r="AH11" s="484"/>
      <c r="AI11" s="497"/>
    </row>
    <row r="12" spans="2:35" x14ac:dyDescent="0.25">
      <c r="B12" s="493"/>
      <c r="C12" s="498"/>
      <c r="D12" s="484"/>
      <c r="E12" s="484"/>
      <c r="F12" s="484"/>
      <c r="G12" s="484"/>
      <c r="H12" s="484"/>
      <c r="I12" s="484"/>
      <c r="J12" s="484"/>
      <c r="K12" s="484"/>
      <c r="L12" s="484"/>
      <c r="M12" s="484"/>
      <c r="N12" s="484"/>
      <c r="O12" s="484"/>
      <c r="P12" s="484"/>
      <c r="Q12" s="497"/>
      <c r="T12" s="493"/>
      <c r="U12" s="484"/>
      <c r="V12" s="484"/>
      <c r="W12" s="484"/>
      <c r="X12" s="484"/>
      <c r="Y12" s="484"/>
      <c r="Z12" s="484"/>
      <c r="AA12" s="484"/>
      <c r="AB12" s="484"/>
      <c r="AC12" s="484"/>
      <c r="AD12" s="484"/>
      <c r="AE12" s="484"/>
      <c r="AF12" s="484"/>
      <c r="AG12" s="484"/>
      <c r="AH12" s="484"/>
      <c r="AI12" s="497"/>
    </row>
    <row r="13" spans="2:35" x14ac:dyDescent="0.25">
      <c r="B13" s="493"/>
      <c r="C13" s="484"/>
      <c r="D13" s="498" t="s">
        <v>6</v>
      </c>
      <c r="E13" s="499"/>
      <c r="F13" s="499"/>
      <c r="G13" s="500">
        <v>13978.5</v>
      </c>
      <c r="H13" s="500">
        <v>18611</v>
      </c>
      <c r="I13" s="500">
        <v>21173.4</v>
      </c>
      <c r="J13" s="500">
        <v>27558.5</v>
      </c>
      <c r="K13" s="500">
        <v>28262.9</v>
      </c>
      <c r="L13" s="500">
        <v>31660.43535</v>
      </c>
      <c r="M13" s="500">
        <v>36796.818463999996</v>
      </c>
      <c r="N13" s="500">
        <v>42290.181162959998</v>
      </c>
      <c r="O13" s="500">
        <v>46605.462560659202</v>
      </c>
      <c r="P13" s="500">
        <v>50624.160760024286</v>
      </c>
      <c r="Q13" s="497"/>
      <c r="T13" s="493"/>
      <c r="U13" s="484"/>
      <c r="V13" s="498" t="s">
        <v>222</v>
      </c>
      <c r="W13" s="499"/>
      <c r="X13" s="499"/>
      <c r="Y13" s="500">
        <f>Model!G286</f>
        <v>5162.2000000000007</v>
      </c>
      <c r="Z13" s="500">
        <f>Model!H286</f>
        <v>7906.4999999999991</v>
      </c>
      <c r="AA13" s="500">
        <f>Model!I286</f>
        <v>8196.9</v>
      </c>
      <c r="AB13" s="500">
        <f>Model!J286</f>
        <v>10559.4</v>
      </c>
      <c r="AC13" s="500">
        <f>Model!K286</f>
        <v>11137.2</v>
      </c>
      <c r="AD13" s="500">
        <f>Model!L286</f>
        <v>12834.601284233335</v>
      </c>
      <c r="AE13" s="500">
        <f>Model!M286</f>
        <v>14801.366831669329</v>
      </c>
      <c r="AF13" s="500">
        <f>Model!N286</f>
        <v>17095.417532492374</v>
      </c>
      <c r="AG13" s="500">
        <f>Model!O286</f>
        <v>19222.729342846596</v>
      </c>
      <c r="AH13" s="500">
        <f>Model!P286</f>
        <v>21109.198152984365</v>
      </c>
      <c r="AI13" s="497"/>
    </row>
    <row r="14" spans="2:35" x14ac:dyDescent="0.25">
      <c r="B14" s="493"/>
      <c r="C14" s="484"/>
      <c r="D14" s="501" t="s">
        <v>296</v>
      </c>
      <c r="E14" s="502"/>
      <c r="F14" s="502"/>
      <c r="G14" s="502"/>
      <c r="H14" s="479">
        <v>0.33140179561469396</v>
      </c>
      <c r="I14" s="479">
        <v>0.137682016012036</v>
      </c>
      <c r="J14" s="479">
        <v>0.30156233765007023</v>
      </c>
      <c r="K14" s="479">
        <v>2.5560171997750292E-2</v>
      </c>
      <c r="L14" s="479">
        <v>0.1202118448566849</v>
      </c>
      <c r="M14" s="479">
        <v>0.16223349607225157</v>
      </c>
      <c r="N14" s="479">
        <v>0.149289067051664</v>
      </c>
      <c r="O14" s="479">
        <v>0.1020397945582403</v>
      </c>
      <c r="P14" s="479">
        <v>8.6228050931466571E-2</v>
      </c>
      <c r="Q14" s="497"/>
      <c r="T14" s="493"/>
      <c r="U14" s="484"/>
      <c r="V14" s="501" t="s">
        <v>297</v>
      </c>
      <c r="W14" s="502"/>
      <c r="X14" s="502"/>
      <c r="Y14" s="479">
        <f>Y13/Y9</f>
        <v>0.36929570411703694</v>
      </c>
      <c r="Z14" s="479">
        <f t="shared" ref="Z14:AH14" si="2">Z13/Z9</f>
        <v>0.42482940196657887</v>
      </c>
      <c r="AA14" s="479">
        <f t="shared" si="2"/>
        <v>0.38713196746861622</v>
      </c>
      <c r="AB14" s="479">
        <f t="shared" si="2"/>
        <v>0.38316308942794419</v>
      </c>
      <c r="AC14" s="479">
        <f t="shared" si="2"/>
        <v>0.3940572269653857</v>
      </c>
      <c r="AD14" s="479">
        <f t="shared" si="2"/>
        <v>0.40538296907004895</v>
      </c>
      <c r="AE14" s="479">
        <f t="shared" si="2"/>
        <v>0.40224583128430469</v>
      </c>
      <c r="AF14" s="479">
        <f t="shared" si="2"/>
        <v>0.40424082050198107</v>
      </c>
      <c r="AG14" s="479">
        <f t="shared" si="2"/>
        <v>0.41245657239915406</v>
      </c>
      <c r="AH14" s="479">
        <f t="shared" si="2"/>
        <v>0.41697872786571483</v>
      </c>
      <c r="AI14" s="497"/>
    </row>
    <row r="15" spans="2:35" x14ac:dyDescent="0.25">
      <c r="B15" s="493"/>
      <c r="C15" s="484"/>
      <c r="D15" s="484"/>
      <c r="E15" s="484"/>
      <c r="F15" s="484"/>
      <c r="G15" s="484"/>
      <c r="H15" s="484"/>
      <c r="I15" s="484"/>
      <c r="J15" s="484"/>
      <c r="K15" s="484"/>
      <c r="L15" s="484"/>
      <c r="M15" s="484"/>
      <c r="N15" s="484"/>
      <c r="O15" s="484"/>
      <c r="P15" s="484"/>
      <c r="Q15" s="497"/>
      <c r="T15" s="493"/>
      <c r="U15" s="484"/>
      <c r="V15" s="501" t="s">
        <v>296</v>
      </c>
      <c r="W15" s="502"/>
      <c r="X15" s="502"/>
      <c r="Y15" s="480"/>
      <c r="Z15" s="479">
        <f>Z13/Y13-1</f>
        <v>0.53161442795707226</v>
      </c>
      <c r="AA15" s="479">
        <f t="shared" ref="AA15:AH15" si="3">AA13/Z13-1</f>
        <v>3.6729273382659855E-2</v>
      </c>
      <c r="AB15" s="479">
        <f t="shared" si="3"/>
        <v>0.28821871683197298</v>
      </c>
      <c r="AC15" s="479">
        <f t="shared" si="3"/>
        <v>5.4719018126029972E-2</v>
      </c>
      <c r="AD15" s="479">
        <f t="shared" si="3"/>
        <v>0.15240826098420923</v>
      </c>
      <c r="AE15" s="479">
        <f t="shared" si="3"/>
        <v>0.15323931798738988</v>
      </c>
      <c r="AF15" s="479">
        <f t="shared" si="3"/>
        <v>0.15498911194570519</v>
      </c>
      <c r="AG15" s="479">
        <f t="shared" si="3"/>
        <v>0.12443754627875858</v>
      </c>
      <c r="AH15" s="479">
        <f t="shared" si="3"/>
        <v>9.813740684226957E-2</v>
      </c>
      <c r="AI15" s="497"/>
    </row>
    <row r="16" spans="2:35" x14ac:dyDescent="0.25">
      <c r="B16" s="493"/>
      <c r="C16" s="484"/>
      <c r="D16" s="484"/>
      <c r="E16" s="484"/>
      <c r="F16" s="484"/>
      <c r="G16" s="484"/>
      <c r="H16" s="484"/>
      <c r="I16" s="484"/>
      <c r="J16" s="484"/>
      <c r="K16" s="484"/>
      <c r="L16" s="484"/>
      <c r="M16" s="484"/>
      <c r="N16" s="484"/>
      <c r="O16" s="484"/>
      <c r="P16" s="484"/>
      <c r="Q16" s="497"/>
      <c r="T16" s="493"/>
      <c r="U16" s="484"/>
      <c r="V16" s="484"/>
      <c r="W16" s="484"/>
      <c r="X16" s="484"/>
      <c r="Y16" s="484"/>
      <c r="Z16" s="484"/>
      <c r="AA16" s="484"/>
      <c r="AB16" s="484"/>
      <c r="AC16" s="484"/>
      <c r="AD16" s="484"/>
      <c r="AE16" s="484"/>
      <c r="AF16" s="484"/>
      <c r="AG16" s="484"/>
      <c r="AH16" s="484"/>
      <c r="AI16" s="497"/>
    </row>
    <row r="17" spans="2:35" x14ac:dyDescent="0.25">
      <c r="B17" s="493"/>
      <c r="C17" s="484"/>
      <c r="D17" s="498" t="s">
        <v>222</v>
      </c>
      <c r="E17" s="499"/>
      <c r="F17" s="499"/>
      <c r="G17" s="500">
        <v>5162.2000000000007</v>
      </c>
      <c r="H17" s="500">
        <v>7906.4999999999991</v>
      </c>
      <c r="I17" s="500">
        <v>8196.9</v>
      </c>
      <c r="J17" s="500">
        <v>10559.4</v>
      </c>
      <c r="K17" s="500">
        <v>11137.2</v>
      </c>
      <c r="L17" s="500">
        <v>12834.601284233335</v>
      </c>
      <c r="M17" s="500">
        <v>14801.366831669329</v>
      </c>
      <c r="N17" s="500">
        <v>17095.417532492374</v>
      </c>
      <c r="O17" s="500">
        <v>19222.729342846596</v>
      </c>
      <c r="P17" s="500">
        <v>21109.198152984365</v>
      </c>
      <c r="Q17" s="497"/>
      <c r="T17" s="493"/>
      <c r="U17" s="484"/>
      <c r="V17" s="484"/>
      <c r="W17" s="484"/>
      <c r="X17" s="484"/>
      <c r="Y17" s="484"/>
      <c r="Z17" s="484"/>
      <c r="AA17" s="484"/>
      <c r="AB17" s="484"/>
      <c r="AC17" s="484"/>
      <c r="AD17" s="484"/>
      <c r="AE17" s="484"/>
      <c r="AF17" s="484"/>
      <c r="AG17" s="484"/>
      <c r="AH17" s="484"/>
      <c r="AI17" s="497"/>
    </row>
    <row r="18" spans="2:35" x14ac:dyDescent="0.25">
      <c r="B18" s="493"/>
      <c r="C18" s="484"/>
      <c r="D18" s="501" t="s">
        <v>297</v>
      </c>
      <c r="E18" s="502"/>
      <c r="F18" s="502"/>
      <c r="G18" s="479">
        <v>0.36929570411703694</v>
      </c>
      <c r="H18" s="479">
        <v>0.42482940196657887</v>
      </c>
      <c r="I18" s="479">
        <v>0.38713196746861622</v>
      </c>
      <c r="J18" s="479">
        <v>0.38316308942794419</v>
      </c>
      <c r="K18" s="479">
        <v>0.3940572269653857</v>
      </c>
      <c r="L18" s="479">
        <v>0.40538296907004895</v>
      </c>
      <c r="M18" s="479">
        <v>0.40224583128430469</v>
      </c>
      <c r="N18" s="479">
        <v>0.40424082050198107</v>
      </c>
      <c r="O18" s="479">
        <v>0.41245657239915406</v>
      </c>
      <c r="P18" s="479">
        <v>0.41697872786571483</v>
      </c>
      <c r="Q18" s="497"/>
      <c r="T18" s="493"/>
      <c r="U18" s="484"/>
      <c r="V18" s="498" t="s">
        <v>20</v>
      </c>
      <c r="W18" s="499"/>
      <c r="X18" s="499"/>
      <c r="Y18" s="500">
        <f>Model!G282</f>
        <v>3696.8000000000006</v>
      </c>
      <c r="Z18" s="500">
        <f>Model!H282</f>
        <v>6134.5999999999985</v>
      </c>
      <c r="AA18" s="500">
        <f>Model!I282</f>
        <v>6395.7999999999993</v>
      </c>
      <c r="AB18" s="500">
        <f>Model!J282</f>
        <v>8115.1999999999989</v>
      </c>
      <c r="AC18" s="500">
        <f>Model!K282</f>
        <v>8349</v>
      </c>
      <c r="AD18" s="500">
        <f>Model!L282</f>
        <v>9548.6678218940015</v>
      </c>
      <c r="AE18" s="500">
        <f>Model!M282</f>
        <v>11077.715748899642</v>
      </c>
      <c r="AF18" s="500">
        <f>Model!N282</f>
        <v>12766.357586016946</v>
      </c>
      <c r="AG18" s="500">
        <f>Model!O282</f>
        <v>14114.494104279816</v>
      </c>
      <c r="AH18" s="500">
        <f>Model!P282</f>
        <v>15393.337122193847</v>
      </c>
      <c r="AI18" s="497"/>
    </row>
    <row r="19" spans="2:35" x14ac:dyDescent="0.25">
      <c r="B19" s="493"/>
      <c r="C19" s="484"/>
      <c r="D19" s="501" t="s">
        <v>296</v>
      </c>
      <c r="E19" s="502"/>
      <c r="F19" s="502"/>
      <c r="G19" s="480"/>
      <c r="H19" s="479">
        <v>0.53161442795707226</v>
      </c>
      <c r="I19" s="479">
        <v>3.6729273382659855E-2</v>
      </c>
      <c r="J19" s="479">
        <v>0.28821871683197298</v>
      </c>
      <c r="K19" s="479">
        <v>5.4719018126029972E-2</v>
      </c>
      <c r="L19" s="479">
        <v>0.15240826098420923</v>
      </c>
      <c r="M19" s="479">
        <v>0.15323931798738988</v>
      </c>
      <c r="N19" s="479">
        <v>0.15498911194570519</v>
      </c>
      <c r="O19" s="479">
        <v>0.12443754627875858</v>
      </c>
      <c r="P19" s="479">
        <v>9.813740684226957E-2</v>
      </c>
      <c r="Q19" s="497"/>
      <c r="T19" s="493"/>
      <c r="U19" s="484"/>
      <c r="V19" s="501" t="s">
        <v>297</v>
      </c>
      <c r="W19" s="502"/>
      <c r="X19" s="502"/>
      <c r="Y19" s="479">
        <f>Y18/Y9</f>
        <v>0.26446328289873738</v>
      </c>
      <c r="Z19" s="479">
        <f t="shared" ref="Z19:AH19" si="4">Z18/Z9</f>
        <v>0.32962226640159037</v>
      </c>
      <c r="AA19" s="479">
        <f t="shared" si="4"/>
        <v>0.30206768870375089</v>
      </c>
      <c r="AB19" s="479">
        <f t="shared" si="4"/>
        <v>0.29447176007402431</v>
      </c>
      <c r="AC19" s="479">
        <f t="shared" si="4"/>
        <v>0.29540493013809621</v>
      </c>
      <c r="AD19" s="479">
        <f t="shared" si="4"/>
        <v>0.30159622621531645</v>
      </c>
      <c r="AE19" s="479">
        <f t="shared" si="4"/>
        <v>0.30105091177209997</v>
      </c>
      <c r="AF19" s="479">
        <f t="shared" si="4"/>
        <v>0.30187521630194397</v>
      </c>
      <c r="AG19" s="479">
        <f t="shared" si="4"/>
        <v>0.30285063871877976</v>
      </c>
      <c r="AH19" s="479">
        <f t="shared" si="4"/>
        <v>0.30407095922366972</v>
      </c>
      <c r="AI19" s="497"/>
    </row>
    <row r="20" spans="2:35" x14ac:dyDescent="0.25">
      <c r="B20" s="493"/>
      <c r="C20" s="484"/>
      <c r="D20" s="484"/>
      <c r="E20" s="484"/>
      <c r="F20" s="484"/>
      <c r="G20" s="484"/>
      <c r="H20" s="484"/>
      <c r="I20" s="484"/>
      <c r="J20" s="484"/>
      <c r="K20" s="484"/>
      <c r="L20" s="484"/>
      <c r="M20" s="484"/>
      <c r="N20" s="484"/>
      <c r="O20" s="484"/>
      <c r="P20" s="484"/>
      <c r="Q20" s="497"/>
      <c r="T20" s="493"/>
      <c r="U20" s="484"/>
      <c r="V20" s="501" t="s">
        <v>296</v>
      </c>
      <c r="W20" s="502"/>
      <c r="X20" s="502"/>
      <c r="Y20" s="480"/>
      <c r="Z20" s="479">
        <f>Z18/Y18-1</f>
        <v>0.65943518718891947</v>
      </c>
      <c r="AA20" s="479">
        <f t="shared" ref="AA20:AH20" si="5">AA18/Z18-1</f>
        <v>4.2578163205425179E-2</v>
      </c>
      <c r="AB20" s="479">
        <f t="shared" si="5"/>
        <v>0.26883267144063283</v>
      </c>
      <c r="AC20" s="479">
        <f t="shared" si="5"/>
        <v>2.8810134069400695E-2</v>
      </c>
      <c r="AD20" s="479">
        <f t="shared" si="5"/>
        <v>0.14369000142460187</v>
      </c>
      <c r="AE20" s="479">
        <f t="shared" si="5"/>
        <v>0.16013206821371551</v>
      </c>
      <c r="AF20" s="479">
        <f t="shared" si="5"/>
        <v>0.15243592410150431</v>
      </c>
      <c r="AG20" s="479">
        <f t="shared" si="5"/>
        <v>0.10560071728990983</v>
      </c>
      <c r="AH20" s="479">
        <f t="shared" si="5"/>
        <v>9.060494895996718E-2</v>
      </c>
      <c r="AI20" s="497"/>
    </row>
    <row r="21" spans="2:35" x14ac:dyDescent="0.25">
      <c r="B21" s="493"/>
      <c r="C21" s="484"/>
      <c r="D21" s="484"/>
      <c r="E21" s="484"/>
      <c r="F21" s="484"/>
      <c r="G21" s="484"/>
      <c r="H21" s="484"/>
      <c r="I21" s="484"/>
      <c r="J21" s="484"/>
      <c r="K21" s="484"/>
      <c r="L21" s="484"/>
      <c r="M21" s="484"/>
      <c r="N21" s="484"/>
      <c r="O21" s="484"/>
      <c r="P21" s="484"/>
      <c r="Q21" s="497"/>
      <c r="T21" s="493"/>
      <c r="U21" s="484"/>
      <c r="V21" s="501"/>
      <c r="W21" s="502"/>
      <c r="X21" s="502"/>
      <c r="Y21" s="480"/>
      <c r="Z21" s="480"/>
      <c r="AA21" s="480"/>
      <c r="AB21" s="480"/>
      <c r="AC21" s="480"/>
      <c r="AD21" s="480"/>
      <c r="AE21" s="480"/>
      <c r="AF21" s="480"/>
      <c r="AG21" s="480"/>
      <c r="AH21" s="480"/>
      <c r="AI21" s="497"/>
    </row>
    <row r="22" spans="2:35" x14ac:dyDescent="0.25">
      <c r="B22" s="493"/>
      <c r="C22" s="484"/>
      <c r="D22" s="498" t="s">
        <v>20</v>
      </c>
      <c r="E22" s="499"/>
      <c r="F22" s="499"/>
      <c r="G22" s="500">
        <v>3696.8000000000006</v>
      </c>
      <c r="H22" s="500">
        <v>6134.5999999999985</v>
      </c>
      <c r="I22" s="500">
        <v>6395.7999999999993</v>
      </c>
      <c r="J22" s="500">
        <v>8115.1999999999989</v>
      </c>
      <c r="K22" s="500">
        <v>8349</v>
      </c>
      <c r="L22" s="500">
        <v>9548.6678218940015</v>
      </c>
      <c r="M22" s="500">
        <v>11077.715748899642</v>
      </c>
      <c r="N22" s="500">
        <v>12766.357586016946</v>
      </c>
      <c r="O22" s="500">
        <v>14114.494104279816</v>
      </c>
      <c r="P22" s="500">
        <v>15393.337122193847</v>
      </c>
      <c r="Q22" s="497"/>
      <c r="T22" s="94"/>
      <c r="U22" s="498" t="s">
        <v>298</v>
      </c>
      <c r="AI22" s="506"/>
    </row>
    <row r="23" spans="2:35" x14ac:dyDescent="0.25">
      <c r="B23" s="493"/>
      <c r="C23" s="484"/>
      <c r="D23" s="501" t="s">
        <v>297</v>
      </c>
      <c r="E23" s="502"/>
      <c r="F23" s="502"/>
      <c r="G23" s="479">
        <v>0.26446328289873738</v>
      </c>
      <c r="H23" s="479">
        <v>0.32962226640159037</v>
      </c>
      <c r="I23" s="479">
        <v>0.30206768870375089</v>
      </c>
      <c r="J23" s="479">
        <v>0.29447176007402431</v>
      </c>
      <c r="K23" s="479">
        <v>0.29540493013809621</v>
      </c>
      <c r="L23" s="479">
        <v>0.30159622621531645</v>
      </c>
      <c r="M23" s="479">
        <v>0.30105091177209997</v>
      </c>
      <c r="N23" s="479">
        <v>0.30187521630194397</v>
      </c>
      <c r="O23" s="479">
        <v>0.30285063871877976</v>
      </c>
      <c r="P23" s="479">
        <v>0.30407095922366972</v>
      </c>
      <c r="Q23" s="497"/>
      <c r="T23" s="94"/>
      <c r="AI23" s="506"/>
    </row>
    <row r="24" spans="2:35" x14ac:dyDescent="0.25">
      <c r="B24" s="493"/>
      <c r="C24" s="484"/>
      <c r="D24" s="501" t="s">
        <v>296</v>
      </c>
      <c r="E24" s="502"/>
      <c r="F24" s="502"/>
      <c r="G24" s="480"/>
      <c r="H24" s="479">
        <v>0.65943518718891947</v>
      </c>
      <c r="I24" s="479">
        <v>4.2578163205425179E-2</v>
      </c>
      <c r="J24" s="479">
        <v>0.26883267144063283</v>
      </c>
      <c r="K24" s="479">
        <v>2.8810134069400695E-2</v>
      </c>
      <c r="L24" s="479">
        <v>0.14369000142460187</v>
      </c>
      <c r="M24" s="479">
        <v>0.16013206821371551</v>
      </c>
      <c r="N24" s="479">
        <v>0.15243592410150431</v>
      </c>
      <c r="O24" s="479">
        <v>0.10560071728990983</v>
      </c>
      <c r="P24" s="479">
        <v>9.060494895996718E-2</v>
      </c>
      <c r="Q24" s="497"/>
      <c r="T24" s="94"/>
      <c r="V24" s="498" t="s">
        <v>64</v>
      </c>
      <c r="Y24" s="500">
        <f>Model!G312</f>
        <v>5306.5999999999995</v>
      </c>
      <c r="Z24" s="500">
        <f>Model!H312</f>
        <v>11592.6</v>
      </c>
      <c r="AA24" s="500">
        <f>Model!I312</f>
        <v>9434.9</v>
      </c>
      <c r="AB24" s="500">
        <f>Model!J312</f>
        <v>6536.2000000000007</v>
      </c>
      <c r="AC24" s="500">
        <f>Model!K312</f>
        <v>12369.7</v>
      </c>
      <c r="AD24" s="500">
        <f>Model!L312</f>
        <v>12312.401890725223</v>
      </c>
      <c r="AE24" s="500">
        <f>Model!M312</f>
        <v>14696.726776964751</v>
      </c>
      <c r="AF24" s="500">
        <f>Model!N312</f>
        <v>16398.538193573011</v>
      </c>
      <c r="AG24" s="500">
        <f>Model!O312</f>
        <v>18644.86978579338</v>
      </c>
      <c r="AH24" s="500">
        <f>Model!P312</f>
        <v>19870.421989127724</v>
      </c>
      <c r="AI24" s="506"/>
    </row>
    <row r="25" spans="2:35" x14ac:dyDescent="0.25">
      <c r="B25" s="493"/>
      <c r="C25" s="484"/>
      <c r="D25" s="501"/>
      <c r="E25" s="502"/>
      <c r="F25" s="502"/>
      <c r="G25" s="480"/>
      <c r="H25" s="480"/>
      <c r="I25" s="480"/>
      <c r="J25" s="480"/>
      <c r="K25" s="480"/>
      <c r="L25" s="480"/>
      <c r="M25" s="480"/>
      <c r="N25" s="480"/>
      <c r="O25" s="480"/>
      <c r="P25" s="480"/>
      <c r="Q25" s="497"/>
      <c r="T25" s="94"/>
      <c r="U25" s="484"/>
      <c r="V25" s="484" t="s">
        <v>299</v>
      </c>
      <c r="Y25" s="500">
        <f>Model!G314</f>
        <v>-962</v>
      </c>
      <c r="Z25" s="500">
        <f>Model!H314</f>
        <v>-900.7</v>
      </c>
      <c r="AA25" s="500">
        <f>Model!I314</f>
        <v>-1281.8</v>
      </c>
      <c r="AB25" s="500">
        <f>Model!J314</f>
        <v>-2155.6</v>
      </c>
      <c r="AC25" s="500">
        <f>Model!K314</f>
        <v>-2067.1999999999998</v>
      </c>
      <c r="AD25" s="500">
        <f>Model!L314</f>
        <v>-1899.626121</v>
      </c>
      <c r="AE25" s="500">
        <f>Model!M314</f>
        <v>-2207.8091078399998</v>
      </c>
      <c r="AF25" s="500">
        <f>Model!N314</f>
        <v>-2537.4108697775996</v>
      </c>
      <c r="AG25" s="500">
        <f>Model!O314</f>
        <v>-2796.3277536395522</v>
      </c>
      <c r="AH25" s="500">
        <f>Model!P314</f>
        <v>-3037.4496456014572</v>
      </c>
      <c r="AI25" s="506"/>
    </row>
    <row r="26" spans="2:35" x14ac:dyDescent="0.25">
      <c r="B26" s="94"/>
      <c r="C26" s="498" t="s">
        <v>298</v>
      </c>
      <c r="Q26" s="506"/>
      <c r="T26" s="94"/>
      <c r="U26" s="484"/>
      <c r="V26" s="484" t="s">
        <v>300</v>
      </c>
      <c r="Y26" s="500">
        <f>Model!G315</f>
        <v>-658.9</v>
      </c>
      <c r="Z26" s="500">
        <f>Model!H315</f>
        <v>-725</v>
      </c>
      <c r="AA26" s="500">
        <f>Model!I315</f>
        <v>-930.6</v>
      </c>
      <c r="AB26" s="500">
        <f>Model!J315</f>
        <v>-985.9</v>
      </c>
      <c r="AC26" s="500">
        <f>Model!K315</f>
        <v>-1138.4000000000001</v>
      </c>
      <c r="AD26" s="500">
        <f>Model!L315</f>
        <v>-1266.417414</v>
      </c>
      <c r="AE26" s="500">
        <f>Model!M315</f>
        <v>-1471.8727385599998</v>
      </c>
      <c r="AF26" s="500">
        <f>Model!N315</f>
        <v>-1691.6072465184</v>
      </c>
      <c r="AG26" s="500">
        <f>Model!O315</f>
        <v>-1864.2185024263681</v>
      </c>
      <c r="AH26" s="500">
        <f>Model!P315</f>
        <v>-2024.9664304009714</v>
      </c>
      <c r="AI26" s="506"/>
    </row>
    <row r="27" spans="2:35" x14ac:dyDescent="0.25">
      <c r="B27" s="94"/>
      <c r="Q27" s="506"/>
      <c r="T27" s="94"/>
      <c r="V27" s="498" t="s">
        <v>301</v>
      </c>
      <c r="Y27" s="159">
        <v>0</v>
      </c>
      <c r="Z27" s="159">
        <v>0</v>
      </c>
      <c r="AA27" s="159">
        <v>0</v>
      </c>
      <c r="AB27" s="159">
        <v>0</v>
      </c>
      <c r="AC27" s="159">
        <v>0</v>
      </c>
      <c r="AD27" s="500">
        <f>Valuation!L47</f>
        <v>5885.913117112952</v>
      </c>
      <c r="AE27" s="500">
        <f>Valuation!M47</f>
        <v>8476.1895957195247</v>
      </c>
      <c r="AF27" s="500">
        <f>Valuation!N47</f>
        <v>10163.950523989504</v>
      </c>
      <c r="AG27" s="500">
        <f>Valuation!O47</f>
        <v>11350.10397857026</v>
      </c>
      <c r="AH27" s="500">
        <f>Valuation!P47</f>
        <v>12904.077823975498</v>
      </c>
      <c r="AI27" s="506"/>
    </row>
    <row r="28" spans="2:35" x14ac:dyDescent="0.25">
      <c r="B28" s="94"/>
      <c r="D28" s="498" t="s">
        <v>64</v>
      </c>
      <c r="F28" s="499"/>
      <c r="G28" s="500">
        <v>5306.5999999999995</v>
      </c>
      <c r="H28" s="500">
        <v>11592.6</v>
      </c>
      <c r="I28" s="500">
        <v>9434.9</v>
      </c>
      <c r="J28" s="500">
        <v>6536.2000000000007</v>
      </c>
      <c r="K28" s="500">
        <v>12369.7</v>
      </c>
      <c r="L28" s="500">
        <v>12312.401890725223</v>
      </c>
      <c r="M28" s="500">
        <v>14696.726776964751</v>
      </c>
      <c r="N28" s="500">
        <v>16398.538193573011</v>
      </c>
      <c r="O28" s="500">
        <v>18644.86978579338</v>
      </c>
      <c r="P28" s="500">
        <v>19870.421989127724</v>
      </c>
      <c r="Q28" s="506"/>
      <c r="T28" s="94"/>
      <c r="AI28" s="506"/>
    </row>
    <row r="29" spans="2:35" x14ac:dyDescent="0.25">
      <c r="B29" s="94"/>
      <c r="C29" s="484"/>
      <c r="D29" s="484" t="s">
        <v>299</v>
      </c>
      <c r="G29" s="500">
        <v>-962</v>
      </c>
      <c r="H29" s="500">
        <v>-900.7</v>
      </c>
      <c r="I29" s="500">
        <v>-1281.8</v>
      </c>
      <c r="J29" s="500">
        <v>-2155.6</v>
      </c>
      <c r="K29" s="500">
        <v>-2067.1999999999998</v>
      </c>
      <c r="L29" s="500">
        <v>-1899.626121</v>
      </c>
      <c r="M29" s="500">
        <v>-2207.8091078399998</v>
      </c>
      <c r="N29" s="500">
        <v>-2537.4108697775996</v>
      </c>
      <c r="O29" s="500">
        <v>-2796.3277536395522</v>
      </c>
      <c r="P29" s="500">
        <v>-3037.4496456014572</v>
      </c>
      <c r="Q29" s="506"/>
      <c r="T29" s="94"/>
      <c r="U29" s="498" t="s">
        <v>302</v>
      </c>
      <c r="AI29" s="506"/>
    </row>
    <row r="30" spans="2:35" x14ac:dyDescent="0.25">
      <c r="B30" s="94"/>
      <c r="C30" s="484"/>
      <c r="D30" s="484" t="s">
        <v>300</v>
      </c>
      <c r="G30" s="500">
        <v>-658.9</v>
      </c>
      <c r="H30" s="500">
        <v>-725</v>
      </c>
      <c r="I30" s="500">
        <v>-930.6</v>
      </c>
      <c r="J30" s="500">
        <v>-985.9</v>
      </c>
      <c r="K30" s="500">
        <v>-1138.4000000000001</v>
      </c>
      <c r="L30" s="500">
        <v>-1266.417414</v>
      </c>
      <c r="M30" s="500">
        <v>-1471.8727385599998</v>
      </c>
      <c r="N30" s="500">
        <v>-1691.6072465184</v>
      </c>
      <c r="O30" s="500">
        <v>-1864.2185024263681</v>
      </c>
      <c r="P30" s="500">
        <v>-2024.9664304009714</v>
      </c>
      <c r="Q30" s="506"/>
      <c r="T30" s="94"/>
      <c r="AI30" s="506"/>
    </row>
    <row r="31" spans="2:35" x14ac:dyDescent="0.25">
      <c r="B31" s="94"/>
      <c r="D31" s="498" t="s">
        <v>301</v>
      </c>
      <c r="F31" s="499"/>
      <c r="G31" s="159">
        <v>0</v>
      </c>
      <c r="H31" s="159">
        <v>0</v>
      </c>
      <c r="I31" s="159">
        <v>0</v>
      </c>
      <c r="J31" s="159">
        <v>0</v>
      </c>
      <c r="K31" s="159">
        <v>0</v>
      </c>
      <c r="L31" s="500">
        <v>5885.913117112952</v>
      </c>
      <c r="M31" s="500">
        <v>8476.1895957195247</v>
      </c>
      <c r="N31" s="500">
        <v>10163.950523989504</v>
      </c>
      <c r="O31" s="500">
        <v>11350.10397857026</v>
      </c>
      <c r="P31" s="500">
        <v>12904.077823975498</v>
      </c>
      <c r="Q31" s="506"/>
      <c r="T31" s="94"/>
      <c r="V31" s="498" t="s">
        <v>34</v>
      </c>
      <c r="Y31" s="500">
        <f>Model!G364</f>
        <v>28866.699999999997</v>
      </c>
      <c r="Z31" s="500">
        <f>Model!H364</f>
        <v>32131.1</v>
      </c>
      <c r="AA31" s="500">
        <f>Model!I364</f>
        <v>38826</v>
      </c>
      <c r="AB31" s="500">
        <f>Model!J364</f>
        <v>43078.6</v>
      </c>
      <c r="AC31" s="500">
        <f>Model!K364</f>
        <v>52566.5</v>
      </c>
      <c r="AD31" s="500">
        <f>Model!L364</f>
        <v>59063.593672471427</v>
      </c>
      <c r="AE31" s="500">
        <f>Model!M364</f>
        <v>68238.526375215486</v>
      </c>
      <c r="AF31" s="500">
        <f>Model!N364</f>
        <v>77823.429558669945</v>
      </c>
      <c r="AG31" s="500">
        <f>Model!O364</f>
        <v>87537.448367424906</v>
      </c>
      <c r="AH31" s="500">
        <f>Model!P364</f>
        <v>97056.418768740987</v>
      </c>
      <c r="AI31" s="506"/>
    </row>
    <row r="32" spans="2:35" x14ac:dyDescent="0.25">
      <c r="B32" s="94"/>
      <c r="Q32" s="506"/>
      <c r="T32" s="94"/>
      <c r="V32" s="498" t="s">
        <v>303</v>
      </c>
      <c r="Y32" s="500">
        <f>(Model!G366+Model!G373)-Model!G342</f>
        <v>-1386.5999999999995</v>
      </c>
      <c r="Z32" s="500">
        <f>(Model!H366+Model!H373)-Model!H342</f>
        <v>-2876.8</v>
      </c>
      <c r="AA32" s="500">
        <f>(Model!I366+Model!I373)-Model!I342</f>
        <v>-3754.1000000000004</v>
      </c>
      <c r="AB32" s="500">
        <f>(Model!J366+Model!J373)-Model!J342</f>
        <v>-2373.1999999999998</v>
      </c>
      <c r="AC32" s="500">
        <f>(Model!K366+Model!K373)-Model!K342</f>
        <v>-9058.5999999999985</v>
      </c>
      <c r="AD32" s="500">
        <f>(Model!L366+Model!L373)-Model!L342</f>
        <v>-10590.871053683524</v>
      </c>
      <c r="AE32" s="500">
        <f>(Model!M366+Model!M373)-Model!M342</f>
        <v>-15515.172322353475</v>
      </c>
      <c r="AF32" s="500">
        <f>(Model!N366+Model!N373)-Model!N342</f>
        <v>-20663.195727321166</v>
      </c>
      <c r="AG32" s="500">
        <f>(Model!O366+Model!O373)-Model!O342</f>
        <v>-26884.547499694727</v>
      </c>
      <c r="AH32" s="500">
        <f>(Model!P366+Model!P373)-Model!P342</f>
        <v>-33226.217995613406</v>
      </c>
      <c r="AI32" s="507"/>
    </row>
    <row r="33" spans="2:35" x14ac:dyDescent="0.25">
      <c r="B33" s="94"/>
      <c r="C33" s="498" t="s">
        <v>302</v>
      </c>
      <c r="Q33" s="506"/>
      <c r="T33" s="94"/>
      <c r="V33" s="498" t="s">
        <v>304</v>
      </c>
      <c r="Y33" s="500">
        <f>Model!G385</f>
        <v>15300.9</v>
      </c>
      <c r="Z33" s="500">
        <f>Model!H385</f>
        <v>11843.8</v>
      </c>
      <c r="AA33" s="500">
        <f>Model!I385</f>
        <v>11286</v>
      </c>
      <c r="AB33" s="500">
        <f>Model!J385</f>
        <v>16209.5</v>
      </c>
      <c r="AC33" s="500">
        <f>Model!K385</f>
        <v>22021.9</v>
      </c>
      <c r="AD33" s="500">
        <f>Model!L385</f>
        <v>26477.102696602306</v>
      </c>
      <c r="AE33" s="500">
        <f>Model!M385</f>
        <v>31646.058875927141</v>
      </c>
      <c r="AF33" s="500">
        <f>Model!N385</f>
        <v>37602.370695449565</v>
      </c>
      <c r="AG33" s="500">
        <f>Model!O385</f>
        <v>44186.92035517878</v>
      </c>
      <c r="AH33" s="500">
        <f>Model!P385</f>
        <v>51367.042863966126</v>
      </c>
      <c r="AI33" s="506"/>
    </row>
    <row r="34" spans="2:35" x14ac:dyDescent="0.25">
      <c r="B34" s="94"/>
      <c r="Q34" s="506"/>
      <c r="T34" s="94"/>
      <c r="AI34" s="506"/>
    </row>
    <row r="35" spans="2:35" x14ac:dyDescent="0.25">
      <c r="B35" s="94"/>
      <c r="D35" s="498" t="s">
        <v>34</v>
      </c>
      <c r="F35" s="499"/>
      <c r="G35" s="500">
        <v>28866.699999999997</v>
      </c>
      <c r="H35" s="500">
        <v>32131.1</v>
      </c>
      <c r="I35" s="500">
        <v>38826</v>
      </c>
      <c r="J35" s="500">
        <v>43078.6</v>
      </c>
      <c r="K35" s="500">
        <v>52566.5</v>
      </c>
      <c r="L35" s="500">
        <v>59063.593672471427</v>
      </c>
      <c r="M35" s="500">
        <v>68238.526375215486</v>
      </c>
      <c r="N35" s="500">
        <v>77823.429558669945</v>
      </c>
      <c r="O35" s="500">
        <v>87537.448367424906</v>
      </c>
      <c r="P35" s="500">
        <v>97056.418768740987</v>
      </c>
      <c r="Q35" s="506"/>
      <c r="T35" s="94"/>
      <c r="U35" s="498" t="s">
        <v>305</v>
      </c>
      <c r="AI35" s="506"/>
    </row>
    <row r="36" spans="2:35" x14ac:dyDescent="0.25">
      <c r="B36" s="94"/>
      <c r="D36" s="498" t="s">
        <v>303</v>
      </c>
      <c r="F36" s="499"/>
      <c r="G36" s="500">
        <v>-1386.5999999999995</v>
      </c>
      <c r="H36" s="500">
        <v>-2876.8</v>
      </c>
      <c r="I36" s="500">
        <v>-3754.1000000000004</v>
      </c>
      <c r="J36" s="500">
        <v>-2373.1999999999998</v>
      </c>
      <c r="K36" s="500">
        <v>-9058.5999999999985</v>
      </c>
      <c r="L36" s="500">
        <v>-10590.871053683524</v>
      </c>
      <c r="M36" s="500">
        <v>-15515.172322353475</v>
      </c>
      <c r="N36" s="500">
        <v>-20663.195727321166</v>
      </c>
      <c r="O36" s="500">
        <v>-26884.547499694727</v>
      </c>
      <c r="P36" s="500">
        <v>-33226.217995613406</v>
      </c>
      <c r="Q36" s="507"/>
      <c r="T36" s="94"/>
      <c r="AI36" s="506"/>
    </row>
    <row r="37" spans="2:35" x14ac:dyDescent="0.25">
      <c r="B37" s="94"/>
      <c r="D37" s="498" t="s">
        <v>304</v>
      </c>
      <c r="F37" s="499"/>
      <c r="G37" s="500">
        <v>15300.9</v>
      </c>
      <c r="H37" s="500">
        <v>11843.8</v>
      </c>
      <c r="I37" s="500">
        <v>11286</v>
      </c>
      <c r="J37" s="500">
        <v>16209.5</v>
      </c>
      <c r="K37" s="500">
        <v>22021.9</v>
      </c>
      <c r="L37" s="500">
        <v>26477.102696602306</v>
      </c>
      <c r="M37" s="500">
        <v>31646.058875927141</v>
      </c>
      <c r="N37" s="500">
        <v>37602.370695449565</v>
      </c>
      <c r="O37" s="500">
        <v>44186.92035517878</v>
      </c>
      <c r="P37" s="500">
        <v>51367.042863966126</v>
      </c>
      <c r="Q37" s="506"/>
      <c r="T37" s="94"/>
      <c r="V37" s="484" t="s">
        <v>306</v>
      </c>
      <c r="Y37" s="159">
        <v>0</v>
      </c>
      <c r="Z37" s="159">
        <v>0</v>
      </c>
      <c r="AA37" s="159">
        <v>0</v>
      </c>
      <c r="AB37" s="159">
        <v>0</v>
      </c>
      <c r="AC37" s="159">
        <v>0</v>
      </c>
      <c r="AD37" s="504">
        <f>Valuation!G102</f>
        <v>392.48443342897684</v>
      </c>
      <c r="AE37" s="504"/>
      <c r="AF37" s="504"/>
      <c r="AG37" s="504"/>
      <c r="AH37" s="504"/>
      <c r="AI37" s="506"/>
    </row>
    <row r="38" spans="2:35" x14ac:dyDescent="0.25">
      <c r="B38" s="94"/>
      <c r="Q38" s="506"/>
      <c r="T38" s="94"/>
      <c r="V38" s="484" t="s">
        <v>307</v>
      </c>
      <c r="Y38" s="159">
        <v>0</v>
      </c>
      <c r="Z38" s="159">
        <v>0</v>
      </c>
      <c r="AA38" s="159">
        <v>0</v>
      </c>
      <c r="AB38" s="159">
        <v>0</v>
      </c>
      <c r="AC38" s="159">
        <v>0</v>
      </c>
      <c r="AD38" s="504">
        <f>Valuation!H102</f>
        <v>1150.1827448123277</v>
      </c>
      <c r="AE38" s="504"/>
      <c r="AF38" s="504"/>
      <c r="AG38" s="504"/>
      <c r="AH38" s="504"/>
      <c r="AI38" s="506"/>
    </row>
    <row r="39" spans="2:35" x14ac:dyDescent="0.25">
      <c r="B39" s="94"/>
      <c r="C39" s="498" t="s">
        <v>305</v>
      </c>
      <c r="Q39" s="506"/>
      <c r="T39" s="94"/>
      <c r="V39" s="484" t="s">
        <v>246</v>
      </c>
      <c r="Y39" s="159">
        <v>0</v>
      </c>
      <c r="Z39" s="159">
        <v>0</v>
      </c>
      <c r="AA39" s="159">
        <v>0</v>
      </c>
      <c r="AB39" s="159">
        <v>0</v>
      </c>
      <c r="AC39" s="159">
        <v>0</v>
      </c>
      <c r="AD39" s="504">
        <f>Assumptions!Q29</f>
        <v>1179.5999999999999</v>
      </c>
      <c r="AE39" s="504"/>
      <c r="AF39" s="504"/>
      <c r="AG39" s="504"/>
      <c r="AH39" s="504"/>
      <c r="AI39" s="506"/>
    </row>
    <row r="40" spans="2:35" x14ac:dyDescent="0.25">
      <c r="B40" s="94"/>
      <c r="Q40" s="506"/>
      <c r="T40" s="94"/>
      <c r="V40" s="484" t="s">
        <v>308</v>
      </c>
      <c r="Y40" s="159">
        <v>0</v>
      </c>
      <c r="Z40" s="159">
        <v>0</v>
      </c>
      <c r="AA40" s="159">
        <v>0</v>
      </c>
      <c r="AB40" s="159">
        <v>0</v>
      </c>
      <c r="AC40" s="159">
        <v>0</v>
      </c>
      <c r="AD40" s="505">
        <f>Valuation!G104</f>
        <v>-0.66727328464820546</v>
      </c>
      <c r="AE40" s="504"/>
      <c r="AF40" s="504"/>
      <c r="AG40" s="504"/>
      <c r="AH40" s="504"/>
      <c r="AI40" s="506"/>
    </row>
    <row r="41" spans="2:35" x14ac:dyDescent="0.25">
      <c r="B41" s="94"/>
      <c r="D41" s="484" t="s">
        <v>306</v>
      </c>
      <c r="G41" s="159">
        <v>0</v>
      </c>
      <c r="H41" s="159">
        <v>0</v>
      </c>
      <c r="I41" s="159">
        <v>0</v>
      </c>
      <c r="J41" s="159">
        <v>0</v>
      </c>
      <c r="K41" s="159">
        <v>0</v>
      </c>
      <c r="L41" s="504">
        <v>392.48443342897684</v>
      </c>
      <c r="M41" s="504"/>
      <c r="N41" s="504"/>
      <c r="O41" s="504"/>
      <c r="P41" s="504"/>
      <c r="Q41" s="506"/>
      <c r="T41" s="94"/>
      <c r="U41" s="29"/>
      <c r="V41" s="503" t="s">
        <v>309</v>
      </c>
      <c r="W41" s="29"/>
      <c r="X41" s="29"/>
      <c r="Y41" s="159">
        <v>0</v>
      </c>
      <c r="Z41" s="159">
        <v>0</v>
      </c>
      <c r="AA41" s="159">
        <v>0</v>
      </c>
      <c r="AB41" s="159">
        <v>0</v>
      </c>
      <c r="AC41" s="159">
        <v>0</v>
      </c>
      <c r="AD41" s="505">
        <f>Valuation!H104</f>
        <v>-2.4938330949196508E-2</v>
      </c>
      <c r="AE41" s="504"/>
      <c r="AF41" s="504"/>
      <c r="AG41" s="504"/>
      <c r="AH41" s="504"/>
      <c r="AI41" s="506"/>
    </row>
    <row r="42" spans="2:35" x14ac:dyDescent="0.25">
      <c r="B42" s="94"/>
      <c r="D42" s="484" t="s">
        <v>307</v>
      </c>
      <c r="G42" s="159">
        <v>0</v>
      </c>
      <c r="H42" s="159">
        <v>0</v>
      </c>
      <c r="I42" s="159">
        <v>0</v>
      </c>
      <c r="J42" s="159">
        <v>0</v>
      </c>
      <c r="K42" s="159">
        <v>0</v>
      </c>
      <c r="L42" s="504">
        <v>1150.1827448123277</v>
      </c>
      <c r="M42" s="504"/>
      <c r="N42" s="504"/>
      <c r="O42" s="504"/>
      <c r="P42" s="504"/>
      <c r="Q42" s="506"/>
      <c r="T42" s="153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08"/>
    </row>
    <row r="43" spans="2:35" x14ac:dyDescent="0.25">
      <c r="B43" s="94"/>
      <c r="D43" s="484" t="s">
        <v>246</v>
      </c>
      <c r="G43" s="159">
        <v>0</v>
      </c>
      <c r="H43" s="159">
        <v>0</v>
      </c>
      <c r="I43" s="159">
        <v>0</v>
      </c>
      <c r="J43" s="159">
        <v>0</v>
      </c>
      <c r="K43" s="159">
        <v>0</v>
      </c>
      <c r="L43" s="504">
        <v>1179.5999999999999</v>
      </c>
      <c r="M43" s="504"/>
      <c r="N43" s="504"/>
      <c r="O43" s="504"/>
      <c r="P43" s="504"/>
      <c r="Q43" s="506"/>
    </row>
    <row r="44" spans="2:35" x14ac:dyDescent="0.25">
      <c r="B44" s="94"/>
      <c r="D44" s="484" t="s">
        <v>308</v>
      </c>
      <c r="G44" s="159">
        <v>0</v>
      </c>
      <c r="H44" s="159">
        <v>0</v>
      </c>
      <c r="I44" s="159">
        <v>0</v>
      </c>
      <c r="J44" s="159">
        <v>0</v>
      </c>
      <c r="K44" s="159">
        <v>0</v>
      </c>
      <c r="L44" s="505">
        <v>-0.66727328464820546</v>
      </c>
      <c r="M44" s="504"/>
      <c r="N44" s="504"/>
      <c r="O44" s="504"/>
      <c r="P44" s="504"/>
      <c r="Q44" s="506"/>
    </row>
    <row r="45" spans="2:35" x14ac:dyDescent="0.25">
      <c r="B45" s="94"/>
      <c r="C45" s="29"/>
      <c r="D45" s="503" t="s">
        <v>309</v>
      </c>
      <c r="E45" s="29"/>
      <c r="F45" s="29"/>
      <c r="G45" s="159">
        <v>0</v>
      </c>
      <c r="H45" s="159">
        <v>0</v>
      </c>
      <c r="I45" s="159">
        <v>0</v>
      </c>
      <c r="J45" s="159">
        <v>0</v>
      </c>
      <c r="K45" s="159">
        <v>0</v>
      </c>
      <c r="L45" s="505">
        <v>-2.4938330949196508E-2</v>
      </c>
      <c r="M45" s="504"/>
      <c r="N45" s="504"/>
      <c r="O45" s="504"/>
      <c r="P45" s="504"/>
      <c r="Q45" s="506"/>
    </row>
    <row r="46" spans="2:35" x14ac:dyDescent="0.25">
      <c r="B46" s="153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08"/>
    </row>
    <row r="49" spans="2:17" ht="17.399999999999999" x14ac:dyDescent="0.3">
      <c r="B49" s="481" t="s">
        <v>315</v>
      </c>
      <c r="C49" s="482"/>
      <c r="D49" s="482"/>
      <c r="E49" s="482"/>
      <c r="F49" s="482"/>
      <c r="G49" s="482"/>
      <c r="H49" s="482"/>
      <c r="I49" s="483"/>
      <c r="J49" s="483"/>
      <c r="K49" s="483"/>
      <c r="L49" s="483"/>
      <c r="M49" s="483"/>
      <c r="N49" s="483"/>
      <c r="O49" s="483"/>
      <c r="P49" s="483"/>
      <c r="Q49" s="519"/>
    </row>
    <row r="50" spans="2:17" x14ac:dyDescent="0.25">
      <c r="B50" s="509"/>
      <c r="C50" s="510"/>
      <c r="D50" s="510"/>
      <c r="E50" s="510"/>
      <c r="F50" s="510"/>
      <c r="G50" s="510"/>
      <c r="H50" s="510"/>
      <c r="I50" s="510"/>
      <c r="J50" s="510"/>
      <c r="K50" s="510"/>
      <c r="L50" s="518" t="s">
        <v>1</v>
      </c>
      <c r="M50" s="517"/>
      <c r="N50" s="517"/>
      <c r="O50" s="517"/>
      <c r="P50" s="517"/>
      <c r="Q50" s="511"/>
    </row>
    <row r="51" spans="2:17" x14ac:dyDescent="0.25">
      <c r="B51" s="512"/>
      <c r="C51" s="514" t="s">
        <v>314</v>
      </c>
      <c r="D51" s="513"/>
      <c r="E51" s="513"/>
      <c r="F51" s="514" t="s">
        <v>310</v>
      </c>
      <c r="G51" s="515">
        <f>Y4</f>
        <v>2020</v>
      </c>
      <c r="H51" s="515">
        <f t="shared" ref="H51:P51" si="6">Z4</f>
        <v>2021</v>
      </c>
      <c r="I51" s="515">
        <f t="shared" si="6"/>
        <v>2022</v>
      </c>
      <c r="J51" s="515">
        <f t="shared" si="6"/>
        <v>2023</v>
      </c>
      <c r="K51" s="515">
        <f t="shared" si="6"/>
        <v>2024</v>
      </c>
      <c r="L51" s="522">
        <f t="shared" si="6"/>
        <v>2025</v>
      </c>
      <c r="M51" s="522">
        <f t="shared" si="6"/>
        <v>2026</v>
      </c>
      <c r="N51" s="522">
        <f t="shared" si="6"/>
        <v>2027</v>
      </c>
      <c r="O51" s="522">
        <f t="shared" si="6"/>
        <v>2028</v>
      </c>
      <c r="P51" s="522">
        <f t="shared" si="6"/>
        <v>2029</v>
      </c>
      <c r="Q51" s="516"/>
    </row>
    <row r="52" spans="2:17" x14ac:dyDescent="0.25">
      <c r="B52" s="493"/>
      <c r="C52" s="484"/>
      <c r="D52" s="484"/>
      <c r="E52" s="484"/>
      <c r="F52" s="484"/>
      <c r="G52" s="484"/>
      <c r="H52" s="484"/>
      <c r="I52" s="494"/>
      <c r="J52" s="494"/>
      <c r="K52" s="495"/>
      <c r="L52" s="496"/>
      <c r="M52" s="496"/>
      <c r="N52" s="496"/>
      <c r="O52" s="496"/>
      <c r="P52" s="496"/>
      <c r="Q52" s="497"/>
    </row>
    <row r="53" spans="2:17" x14ac:dyDescent="0.25">
      <c r="B53" s="493"/>
      <c r="C53" s="484"/>
      <c r="D53" s="484"/>
      <c r="E53" s="484"/>
      <c r="F53" s="484"/>
      <c r="G53" s="484"/>
      <c r="H53" s="484"/>
      <c r="I53" s="494"/>
      <c r="J53" s="494"/>
      <c r="K53" s="495"/>
      <c r="L53" s="496"/>
      <c r="M53" s="496"/>
      <c r="N53" s="496"/>
      <c r="O53" s="496"/>
      <c r="P53" s="496"/>
      <c r="Q53" s="497"/>
    </row>
    <row r="54" spans="2:17" x14ac:dyDescent="0.25">
      <c r="B54" s="493"/>
      <c r="C54" s="498" t="s">
        <v>49</v>
      </c>
      <c r="D54" s="484"/>
      <c r="E54" s="484"/>
      <c r="F54" s="484"/>
      <c r="G54" s="484"/>
      <c r="H54" s="484"/>
      <c r="I54" s="484"/>
      <c r="J54" s="484"/>
      <c r="K54" s="484"/>
      <c r="L54" s="484"/>
      <c r="M54" s="484"/>
      <c r="N54" s="484"/>
      <c r="O54" s="484"/>
      <c r="P54" s="484"/>
      <c r="Q54" s="497"/>
    </row>
    <row r="55" spans="2:17" x14ac:dyDescent="0.25">
      <c r="B55" s="493"/>
      <c r="C55" s="498"/>
      <c r="D55" s="484"/>
      <c r="E55" s="484"/>
      <c r="F55" s="484"/>
      <c r="G55" s="484"/>
      <c r="H55" s="484"/>
      <c r="I55" s="484"/>
      <c r="J55" s="484"/>
      <c r="K55" s="484"/>
      <c r="L55" s="484"/>
      <c r="M55" s="484"/>
      <c r="N55" s="484"/>
      <c r="O55" s="484"/>
      <c r="P55" s="484"/>
      <c r="Q55" s="497"/>
    </row>
    <row r="56" spans="2:17" x14ac:dyDescent="0.25">
      <c r="B56" s="493"/>
      <c r="C56" s="484"/>
      <c r="D56" s="498" t="s">
        <v>6</v>
      </c>
      <c r="E56" s="499"/>
      <c r="F56" s="499"/>
      <c r="G56" s="500">
        <v>13978.5</v>
      </c>
      <c r="H56" s="500">
        <v>18611</v>
      </c>
      <c r="I56" s="500">
        <v>21173.4</v>
      </c>
      <c r="J56" s="500">
        <v>27558.5</v>
      </c>
      <c r="K56" s="500">
        <v>28262.9</v>
      </c>
      <c r="L56" s="500">
        <v>35647.210350000001</v>
      </c>
      <c r="M56" s="500">
        <v>44021.468464000005</v>
      </c>
      <c r="N56" s="500">
        <v>52685.256162960002</v>
      </c>
      <c r="O56" s="500">
        <v>59818.662560659199</v>
      </c>
      <c r="P56" s="500">
        <v>67464.910760024286</v>
      </c>
      <c r="Q56" s="497"/>
    </row>
    <row r="57" spans="2:17" x14ac:dyDescent="0.25">
      <c r="B57" s="493"/>
      <c r="C57" s="484"/>
      <c r="D57" s="501" t="s">
        <v>296</v>
      </c>
      <c r="E57" s="502"/>
      <c r="F57" s="502"/>
      <c r="G57" s="502"/>
      <c r="H57" s="479">
        <v>0.33140179561469396</v>
      </c>
      <c r="I57" s="479">
        <v>0.137682016012036</v>
      </c>
      <c r="J57" s="479">
        <v>0.30156233765007023</v>
      </c>
      <c r="K57" s="479">
        <v>2.5560171997750292E-2</v>
      </c>
      <c r="L57" s="479">
        <v>0.261272210211974</v>
      </c>
      <c r="M57" s="479">
        <v>0.23492043365463533</v>
      </c>
      <c r="N57" s="479">
        <v>0.19680823928091118</v>
      </c>
      <c r="O57" s="479">
        <v>0.13539663498332355</v>
      </c>
      <c r="P57" s="479">
        <v>0.12782379063743532</v>
      </c>
      <c r="Q57" s="497"/>
    </row>
    <row r="58" spans="2:17" x14ac:dyDescent="0.25">
      <c r="B58" s="493"/>
      <c r="C58" s="484"/>
      <c r="D58" s="484"/>
      <c r="E58" s="484"/>
      <c r="F58" s="484"/>
      <c r="G58" s="484"/>
      <c r="H58" s="484"/>
      <c r="I58" s="484"/>
      <c r="J58" s="484"/>
      <c r="K58" s="484"/>
      <c r="L58" s="484"/>
      <c r="M58" s="484"/>
      <c r="N58" s="484"/>
      <c r="O58" s="484"/>
      <c r="P58" s="484"/>
      <c r="Q58" s="497"/>
    </row>
    <row r="59" spans="2:17" x14ac:dyDescent="0.25">
      <c r="B59" s="493"/>
      <c r="C59" s="484"/>
      <c r="D59" s="484"/>
      <c r="E59" s="484"/>
      <c r="F59" s="484"/>
      <c r="G59" s="484"/>
      <c r="H59" s="484"/>
      <c r="I59" s="484"/>
      <c r="J59" s="484"/>
      <c r="K59" s="484"/>
      <c r="L59" s="484"/>
      <c r="M59" s="484"/>
      <c r="N59" s="484"/>
      <c r="O59" s="484"/>
      <c r="P59" s="484"/>
      <c r="Q59" s="497"/>
    </row>
    <row r="60" spans="2:17" x14ac:dyDescent="0.25">
      <c r="B60" s="493"/>
      <c r="C60" s="484"/>
      <c r="D60" s="498" t="s">
        <v>222</v>
      </c>
      <c r="E60" s="499"/>
      <c r="F60" s="499"/>
      <c r="G60" s="500">
        <v>5162.2000000000007</v>
      </c>
      <c r="H60" s="500">
        <v>7906.4999999999991</v>
      </c>
      <c r="I60" s="500">
        <v>8196.9</v>
      </c>
      <c r="J60" s="500">
        <v>10559.4</v>
      </c>
      <c r="K60" s="500">
        <v>11137.2</v>
      </c>
      <c r="L60" s="500">
        <v>13961.130606683333</v>
      </c>
      <c r="M60" s="500">
        <v>17399.178610917337</v>
      </c>
      <c r="N60" s="500">
        <v>21042.716425633094</v>
      </c>
      <c r="O60" s="500">
        <v>24437.958530771211</v>
      </c>
      <c r="P60" s="500">
        <v>27729.505228304526</v>
      </c>
      <c r="Q60" s="497"/>
    </row>
    <row r="61" spans="2:17" x14ac:dyDescent="0.25">
      <c r="B61" s="493"/>
      <c r="C61" s="484"/>
      <c r="D61" s="501" t="s">
        <v>297</v>
      </c>
      <c r="E61" s="502"/>
      <c r="F61" s="502"/>
      <c r="G61" s="479">
        <v>0.36929570411703694</v>
      </c>
      <c r="H61" s="479">
        <v>0.42482940196657887</v>
      </c>
      <c r="I61" s="479">
        <v>0.38713196746861622</v>
      </c>
      <c r="J61" s="479">
        <v>0.38316308942794419</v>
      </c>
      <c r="K61" s="479">
        <v>0.3940572269653857</v>
      </c>
      <c r="L61" s="479">
        <v>0.39164721361382299</v>
      </c>
      <c r="M61" s="479">
        <v>0.39524303068504141</v>
      </c>
      <c r="N61" s="479">
        <v>0.39940427281109109</v>
      </c>
      <c r="O61" s="479">
        <v>0.40853401738947048</v>
      </c>
      <c r="P61" s="479">
        <v>0.41102115034198472</v>
      </c>
      <c r="Q61" s="497"/>
    </row>
    <row r="62" spans="2:17" x14ac:dyDescent="0.25">
      <c r="B62" s="493"/>
      <c r="C62" s="484"/>
      <c r="D62" s="501" t="s">
        <v>296</v>
      </c>
      <c r="E62" s="502"/>
      <c r="F62" s="502"/>
      <c r="G62" s="480"/>
      <c r="H62" s="479">
        <v>0.53161442795707226</v>
      </c>
      <c r="I62" s="479">
        <v>3.6729273382659855E-2</v>
      </c>
      <c r="J62" s="479">
        <v>0.28821871683197298</v>
      </c>
      <c r="K62" s="479">
        <v>5.4719018126029972E-2</v>
      </c>
      <c r="L62" s="479">
        <v>0.25355839947952208</v>
      </c>
      <c r="M62" s="479">
        <v>0.24625856609264707</v>
      </c>
      <c r="N62" s="479">
        <v>0.20940861038288161</v>
      </c>
      <c r="O62" s="479">
        <v>0.16134999096419977</v>
      </c>
      <c r="P62" s="479">
        <v>0.13468992073903152</v>
      </c>
      <c r="Q62" s="497"/>
    </row>
    <row r="63" spans="2:17" x14ac:dyDescent="0.25">
      <c r="B63" s="493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  <c r="O63" s="484"/>
      <c r="P63" s="484"/>
      <c r="Q63" s="497"/>
    </row>
    <row r="64" spans="2:17" x14ac:dyDescent="0.25">
      <c r="B64" s="493"/>
      <c r="C64" s="484"/>
      <c r="D64" s="484"/>
      <c r="E64" s="484"/>
      <c r="F64" s="484"/>
      <c r="G64" s="484"/>
      <c r="H64" s="484"/>
      <c r="I64" s="484"/>
      <c r="J64" s="484"/>
      <c r="K64" s="484"/>
      <c r="L64" s="484"/>
      <c r="M64" s="484"/>
      <c r="N64" s="484"/>
      <c r="O64" s="484"/>
      <c r="P64" s="484"/>
      <c r="Q64" s="497"/>
    </row>
    <row r="65" spans="2:17" x14ac:dyDescent="0.25">
      <c r="B65" s="493"/>
      <c r="C65" s="484"/>
      <c r="D65" s="498" t="s">
        <v>20</v>
      </c>
      <c r="E65" s="499"/>
      <c r="F65" s="499"/>
      <c r="G65" s="500">
        <v>3696.8000000000006</v>
      </c>
      <c r="H65" s="500">
        <v>6134.5999999999985</v>
      </c>
      <c r="I65" s="500">
        <v>6395.7999999999993</v>
      </c>
      <c r="J65" s="500">
        <v>8115.1999999999989</v>
      </c>
      <c r="K65" s="500">
        <v>8349</v>
      </c>
      <c r="L65" s="500">
        <v>10920.261609752</v>
      </c>
      <c r="M65" s="500">
        <v>13453.851498699472</v>
      </c>
      <c r="N65" s="500">
        <v>16133.151831986144</v>
      </c>
      <c r="O65" s="500">
        <v>18363.266100165332</v>
      </c>
      <c r="P65" s="500">
        <v>20768.745302994637</v>
      </c>
      <c r="Q65" s="497"/>
    </row>
    <row r="66" spans="2:17" x14ac:dyDescent="0.25">
      <c r="B66" s="493"/>
      <c r="C66" s="484"/>
      <c r="D66" s="501" t="s">
        <v>297</v>
      </c>
      <c r="E66" s="502"/>
      <c r="F66" s="502"/>
      <c r="G66" s="479">
        <v>0.26446328289873738</v>
      </c>
      <c r="H66" s="479">
        <v>0.32962226640159037</v>
      </c>
      <c r="I66" s="479">
        <v>0.30206768870375089</v>
      </c>
      <c r="J66" s="479">
        <v>0.29447176007402431</v>
      </c>
      <c r="K66" s="479">
        <v>0.29540493013809621</v>
      </c>
      <c r="L66" s="479">
        <v>0.30634267036696744</v>
      </c>
      <c r="M66" s="479">
        <v>0.30562023412966788</v>
      </c>
      <c r="N66" s="479">
        <v>0.30621758356996359</v>
      </c>
      <c r="O66" s="479">
        <v>0.30698222451135609</v>
      </c>
      <c r="P66" s="479">
        <v>0.30784514600293472</v>
      </c>
      <c r="Q66" s="497"/>
    </row>
    <row r="67" spans="2:17" x14ac:dyDescent="0.25">
      <c r="B67" s="493"/>
      <c r="C67" s="484"/>
      <c r="D67" s="501" t="s">
        <v>296</v>
      </c>
      <c r="E67" s="502"/>
      <c r="F67" s="502"/>
      <c r="G67" s="480"/>
      <c r="H67" s="479">
        <v>0.65943518718891947</v>
      </c>
      <c r="I67" s="479">
        <v>4.2578163205425179E-2</v>
      </c>
      <c r="J67" s="479">
        <v>0.26883267144063283</v>
      </c>
      <c r="K67" s="479">
        <v>2.8810134069400695E-2</v>
      </c>
      <c r="L67" s="479">
        <v>0.30797240504874845</v>
      </c>
      <c r="M67" s="479">
        <v>0.23200816788903</v>
      </c>
      <c r="N67" s="479">
        <v>0.19914745852112814</v>
      </c>
      <c r="O67" s="479">
        <v>0.13823177835329648</v>
      </c>
      <c r="P67" s="479">
        <v>0.13099408295388404</v>
      </c>
      <c r="Q67" s="497"/>
    </row>
    <row r="68" spans="2:17" x14ac:dyDescent="0.25">
      <c r="B68" s="493"/>
      <c r="C68" s="484"/>
      <c r="D68" s="501"/>
      <c r="E68" s="502"/>
      <c r="F68" s="502"/>
      <c r="G68" s="480"/>
      <c r="H68" s="480"/>
      <c r="I68" s="480"/>
      <c r="J68" s="480"/>
      <c r="K68" s="480"/>
      <c r="L68" s="480"/>
      <c r="M68" s="480"/>
      <c r="N68" s="480"/>
      <c r="O68" s="480"/>
      <c r="P68" s="480"/>
      <c r="Q68" s="497"/>
    </row>
    <row r="69" spans="2:17" x14ac:dyDescent="0.25">
      <c r="B69" s="94"/>
      <c r="C69" s="498" t="s">
        <v>298</v>
      </c>
      <c r="Q69" s="506"/>
    </row>
    <row r="70" spans="2:17" x14ac:dyDescent="0.25">
      <c r="B70" s="94"/>
      <c r="Q70" s="506"/>
    </row>
    <row r="71" spans="2:17" x14ac:dyDescent="0.25">
      <c r="B71" s="94"/>
      <c r="D71" s="498" t="s">
        <v>64</v>
      </c>
      <c r="F71" s="499"/>
      <c r="G71" s="500">
        <v>5306.5999999999995</v>
      </c>
      <c r="H71" s="500">
        <v>11592.6</v>
      </c>
      <c r="I71" s="500">
        <v>9434.9</v>
      </c>
      <c r="J71" s="500">
        <v>6536.2000000000007</v>
      </c>
      <c r="K71" s="500">
        <v>12369.7</v>
      </c>
      <c r="L71" s="500">
        <v>14218.611285446303</v>
      </c>
      <c r="M71" s="500">
        <v>17776.612123847957</v>
      </c>
      <c r="N71" s="500">
        <v>20563.984629918243</v>
      </c>
      <c r="O71" s="500">
        <v>23993.877687281478</v>
      </c>
      <c r="P71" s="500">
        <v>26534.170025664404</v>
      </c>
      <c r="Q71" s="506"/>
    </row>
    <row r="72" spans="2:17" x14ac:dyDescent="0.25">
      <c r="B72" s="94"/>
      <c r="C72" s="484"/>
      <c r="D72" s="484" t="s">
        <v>299</v>
      </c>
      <c r="G72" s="500">
        <v>-962</v>
      </c>
      <c r="H72" s="500">
        <v>-900.7</v>
      </c>
      <c r="I72" s="500">
        <v>-1281.8</v>
      </c>
      <c r="J72" s="500">
        <v>-2155.6</v>
      </c>
      <c r="K72" s="500">
        <v>-2067.1999999999998</v>
      </c>
      <c r="L72" s="500">
        <v>-2138.832621</v>
      </c>
      <c r="M72" s="500">
        <v>-2641.2881078400001</v>
      </c>
      <c r="N72" s="500">
        <v>-3161.1153697775999</v>
      </c>
      <c r="O72" s="500">
        <v>-3589.1197536395516</v>
      </c>
      <c r="P72" s="500">
        <v>-4047.8946456014569</v>
      </c>
      <c r="Q72" s="506"/>
    </row>
    <row r="73" spans="2:17" x14ac:dyDescent="0.25">
      <c r="B73" s="94"/>
      <c r="C73" s="484"/>
      <c r="D73" s="484" t="s">
        <v>300</v>
      </c>
      <c r="G73" s="500">
        <v>-658.9</v>
      </c>
      <c r="H73" s="500">
        <v>-725</v>
      </c>
      <c r="I73" s="500">
        <v>-930.6</v>
      </c>
      <c r="J73" s="500">
        <v>-985.9</v>
      </c>
      <c r="K73" s="500">
        <v>-1138.4000000000001</v>
      </c>
      <c r="L73" s="500">
        <v>-1425.888414</v>
      </c>
      <c r="M73" s="500">
        <v>-1760.8587385600003</v>
      </c>
      <c r="N73" s="500">
        <v>-2107.4102465184001</v>
      </c>
      <c r="O73" s="500">
        <v>-2392.7465024263679</v>
      </c>
      <c r="P73" s="500">
        <v>-2698.5964304009717</v>
      </c>
      <c r="Q73" s="506"/>
    </row>
    <row r="74" spans="2:17" x14ac:dyDescent="0.25">
      <c r="B74" s="94"/>
      <c r="D74" s="498" t="s">
        <v>301</v>
      </c>
      <c r="F74" s="499"/>
      <c r="G74" s="159">
        <v>0</v>
      </c>
      <c r="H74" s="159">
        <v>0</v>
      </c>
      <c r="I74" s="159">
        <v>0</v>
      </c>
      <c r="J74" s="159">
        <v>0</v>
      </c>
      <c r="K74" s="159">
        <v>0</v>
      </c>
      <c r="L74" s="500">
        <v>6079.4735861353265</v>
      </c>
      <c r="M74" s="500">
        <v>9630.1371828632</v>
      </c>
      <c r="N74" s="500">
        <v>12211.348416172921</v>
      </c>
      <c r="O74" s="500">
        <v>14148.364594364952</v>
      </c>
      <c r="P74" s="500">
        <v>16534.601702374894</v>
      </c>
      <c r="Q74" s="506"/>
    </row>
    <row r="75" spans="2:17" x14ac:dyDescent="0.25">
      <c r="B75" s="94"/>
      <c r="Q75" s="506"/>
    </row>
    <row r="76" spans="2:17" x14ac:dyDescent="0.25">
      <c r="B76" s="94"/>
      <c r="C76" s="498" t="s">
        <v>302</v>
      </c>
      <c r="Q76" s="506"/>
    </row>
    <row r="77" spans="2:17" x14ac:dyDescent="0.25">
      <c r="B77" s="94"/>
      <c r="Q77" s="506"/>
    </row>
    <row r="78" spans="2:17" x14ac:dyDescent="0.25">
      <c r="B78" s="94"/>
      <c r="D78" s="498" t="s">
        <v>34</v>
      </c>
      <c r="F78" s="499"/>
      <c r="G78" s="500">
        <v>28866.699999999997</v>
      </c>
      <c r="H78" s="500">
        <v>32131.1</v>
      </c>
      <c r="I78" s="500">
        <v>38826</v>
      </c>
      <c r="J78" s="500">
        <v>43078.6</v>
      </c>
      <c r="K78" s="500">
        <v>52566.5</v>
      </c>
      <c r="L78" s="500">
        <v>63158.883621199377</v>
      </c>
      <c r="M78" s="500">
        <v>76253.088480354549</v>
      </c>
      <c r="N78" s="500">
        <v>89994.106054939679</v>
      </c>
      <c r="O78" s="500">
        <v>104067.53953370437</v>
      </c>
      <c r="P78" s="500">
        <v>118971.99470311827</v>
      </c>
      <c r="Q78" s="506"/>
    </row>
    <row r="79" spans="2:17" x14ac:dyDescent="0.25">
      <c r="B79" s="94"/>
      <c r="D79" s="498" t="s">
        <v>303</v>
      </c>
      <c r="G79" s="500">
        <v>-1386.5999999999995</v>
      </c>
      <c r="H79" s="500">
        <v>-2876.8</v>
      </c>
      <c r="I79" s="500">
        <v>-3754.1000000000004</v>
      </c>
      <c r="J79" s="500">
        <v>-2373.1999999999998</v>
      </c>
      <c r="K79" s="500">
        <v>-9058.5999999999985</v>
      </c>
      <c r="L79" s="500">
        <v>-11344.026365082704</v>
      </c>
      <c r="M79" s="500">
        <v>-17318.873318245951</v>
      </c>
      <c r="N79" s="500">
        <v>-23741.098824275814</v>
      </c>
      <c r="O79" s="500">
        <v>-31653.313900400437</v>
      </c>
      <c r="P79" s="500">
        <v>-40018.182933415359</v>
      </c>
      <c r="Q79" s="507"/>
    </row>
    <row r="80" spans="2:17" x14ac:dyDescent="0.25">
      <c r="B80" s="94"/>
      <c r="D80" s="498" t="s">
        <v>304</v>
      </c>
      <c r="F80" s="499"/>
      <c r="G80" s="500">
        <v>15300.9</v>
      </c>
      <c r="H80" s="500">
        <v>11843.8</v>
      </c>
      <c r="I80" s="500">
        <v>11286</v>
      </c>
      <c r="J80" s="500">
        <v>16209.5</v>
      </c>
      <c r="K80" s="500">
        <v>22021.9</v>
      </c>
      <c r="L80" s="500">
        <v>27114.253776138401</v>
      </c>
      <c r="M80" s="500">
        <v>33388.594292873167</v>
      </c>
      <c r="N80" s="500">
        <v>40911.938898081738</v>
      </c>
      <c r="O80" s="500">
        <v>49474.501955959437</v>
      </c>
      <c r="P80" s="500">
        <v>59157.761896107149</v>
      </c>
      <c r="Q80" s="506"/>
    </row>
    <row r="81" spans="2:17" x14ac:dyDescent="0.25">
      <c r="B81" s="94"/>
      <c r="Q81" s="506"/>
    </row>
    <row r="82" spans="2:17" x14ac:dyDescent="0.25">
      <c r="B82" s="94"/>
      <c r="C82" s="498" t="s">
        <v>305</v>
      </c>
      <c r="Q82" s="506"/>
    </row>
    <row r="83" spans="2:17" x14ac:dyDescent="0.25">
      <c r="B83" s="94"/>
      <c r="Q83" s="506"/>
    </row>
    <row r="84" spans="2:17" x14ac:dyDescent="0.25">
      <c r="B84" s="94"/>
      <c r="D84" s="484" t="s">
        <v>306</v>
      </c>
      <c r="G84" s="159">
        <v>0</v>
      </c>
      <c r="H84" s="159">
        <v>0</v>
      </c>
      <c r="I84" s="159">
        <v>0</v>
      </c>
      <c r="J84" s="159">
        <v>0</v>
      </c>
      <c r="K84" s="159">
        <v>0</v>
      </c>
      <c r="L84" s="504">
        <v>486.96430536487657</v>
      </c>
      <c r="M84" s="504"/>
      <c r="N84" s="504"/>
      <c r="O84" s="504"/>
      <c r="P84" s="504"/>
      <c r="Q84" s="506"/>
    </row>
    <row r="85" spans="2:17" x14ac:dyDescent="0.25">
      <c r="B85" s="94"/>
      <c r="D85" s="484" t="s">
        <v>307</v>
      </c>
      <c r="G85" s="159">
        <v>0</v>
      </c>
      <c r="H85" s="159">
        <v>0</v>
      </c>
      <c r="I85" s="159">
        <v>0</v>
      </c>
      <c r="J85" s="159">
        <v>0</v>
      </c>
      <c r="K85" s="159">
        <v>0</v>
      </c>
      <c r="L85" s="504">
        <v>1491.0574432025039</v>
      </c>
      <c r="M85" s="504"/>
      <c r="N85" s="504"/>
      <c r="O85" s="504"/>
      <c r="P85" s="504"/>
      <c r="Q85" s="506"/>
    </row>
    <row r="86" spans="2:17" x14ac:dyDescent="0.25">
      <c r="B86" s="94"/>
      <c r="D86" s="484" t="s">
        <v>246</v>
      </c>
      <c r="G86" s="159">
        <v>0</v>
      </c>
      <c r="H86" s="159">
        <v>0</v>
      </c>
      <c r="I86" s="159">
        <v>0</v>
      </c>
      <c r="J86" s="159">
        <v>0</v>
      </c>
      <c r="K86" s="159">
        <v>0</v>
      </c>
      <c r="L86" s="504">
        <v>1179.5999999999999</v>
      </c>
      <c r="M86" s="504"/>
      <c r="N86" s="504"/>
      <c r="O86" s="504"/>
      <c r="P86" s="504"/>
      <c r="Q86" s="506"/>
    </row>
    <row r="87" spans="2:17" x14ac:dyDescent="0.25">
      <c r="B87" s="94"/>
      <c r="D87" s="484" t="s">
        <v>308</v>
      </c>
      <c r="G87" s="159">
        <v>0</v>
      </c>
      <c r="H87" s="159">
        <v>0</v>
      </c>
      <c r="I87" s="159">
        <v>0</v>
      </c>
      <c r="J87" s="159">
        <v>0</v>
      </c>
      <c r="K87" s="159">
        <v>0</v>
      </c>
      <c r="L87" s="505">
        <v>-0.58717844577409584</v>
      </c>
      <c r="M87" s="504"/>
      <c r="N87" s="504"/>
      <c r="O87" s="504"/>
      <c r="P87" s="504"/>
      <c r="Q87" s="506"/>
    </row>
    <row r="88" spans="2:17" x14ac:dyDescent="0.25">
      <c r="B88" s="94"/>
      <c r="C88" s="29"/>
      <c r="D88" s="503" t="s">
        <v>309</v>
      </c>
      <c r="E88" s="29"/>
      <c r="F88" s="29"/>
      <c r="G88" s="159">
        <v>0</v>
      </c>
      <c r="H88" s="159">
        <v>0</v>
      </c>
      <c r="I88" s="159">
        <v>0</v>
      </c>
      <c r="J88" s="159">
        <v>0</v>
      </c>
      <c r="K88" s="159">
        <v>0</v>
      </c>
      <c r="L88" s="505">
        <v>0.26403648965963389</v>
      </c>
      <c r="M88" s="504"/>
      <c r="N88" s="504"/>
      <c r="O88" s="504"/>
      <c r="P88" s="504"/>
      <c r="Q88" s="506"/>
    </row>
    <row r="89" spans="2:17" x14ac:dyDescent="0.25">
      <c r="B89" s="153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08"/>
    </row>
    <row r="92" spans="2:17" ht="17.399999999999999" x14ac:dyDescent="0.3">
      <c r="B92" s="481" t="s">
        <v>316</v>
      </c>
      <c r="C92" s="482"/>
      <c r="D92" s="482"/>
      <c r="E92" s="482"/>
      <c r="F92" s="482"/>
      <c r="G92" s="482"/>
      <c r="H92" s="482"/>
      <c r="I92" s="483"/>
      <c r="J92" s="483"/>
      <c r="K92" s="483"/>
      <c r="L92" s="483"/>
      <c r="M92" s="483"/>
      <c r="N92" s="483"/>
      <c r="O92" s="483"/>
      <c r="P92" s="483"/>
      <c r="Q92" s="519"/>
    </row>
    <row r="93" spans="2:17" x14ac:dyDescent="0.25">
      <c r="B93" s="509"/>
      <c r="C93" s="510"/>
      <c r="D93" s="510"/>
      <c r="E93" s="510"/>
      <c r="F93" s="510"/>
      <c r="G93" s="510"/>
      <c r="H93" s="510"/>
      <c r="I93" s="510"/>
      <c r="J93" s="510"/>
      <c r="K93" s="510"/>
      <c r="L93" s="518" t="s">
        <v>1</v>
      </c>
      <c r="M93" s="517"/>
      <c r="N93" s="517"/>
      <c r="O93" s="517"/>
      <c r="P93" s="517"/>
      <c r="Q93" s="511"/>
    </row>
    <row r="94" spans="2:17" x14ac:dyDescent="0.25">
      <c r="B94" s="512"/>
      <c r="C94" s="514" t="s">
        <v>314</v>
      </c>
      <c r="D94" s="513"/>
      <c r="E94" s="513"/>
      <c r="F94" s="514" t="s">
        <v>310</v>
      </c>
      <c r="G94" s="515">
        <f>Y4</f>
        <v>2020</v>
      </c>
      <c r="H94" s="515">
        <f t="shared" ref="H94:P94" si="7">Z4</f>
        <v>2021</v>
      </c>
      <c r="I94" s="515">
        <f t="shared" si="7"/>
        <v>2022</v>
      </c>
      <c r="J94" s="515">
        <f t="shared" si="7"/>
        <v>2023</v>
      </c>
      <c r="K94" s="515">
        <f t="shared" si="7"/>
        <v>2024</v>
      </c>
      <c r="L94" s="522">
        <f t="shared" si="7"/>
        <v>2025</v>
      </c>
      <c r="M94" s="522">
        <f t="shared" si="7"/>
        <v>2026</v>
      </c>
      <c r="N94" s="522">
        <f t="shared" si="7"/>
        <v>2027</v>
      </c>
      <c r="O94" s="522">
        <f t="shared" si="7"/>
        <v>2028</v>
      </c>
      <c r="P94" s="522">
        <f t="shared" si="7"/>
        <v>2029</v>
      </c>
      <c r="Q94" s="516"/>
    </row>
    <row r="95" spans="2:17" x14ac:dyDescent="0.25">
      <c r="B95" s="493"/>
      <c r="C95" s="484"/>
      <c r="D95" s="484"/>
      <c r="E95" s="484"/>
      <c r="F95" s="484"/>
      <c r="G95" s="484"/>
      <c r="H95" s="484"/>
      <c r="I95" s="494"/>
      <c r="J95" s="494"/>
      <c r="K95" s="495"/>
      <c r="L95" s="496"/>
      <c r="M95" s="496"/>
      <c r="N95" s="496"/>
      <c r="O95" s="496"/>
      <c r="P95" s="496"/>
      <c r="Q95" s="497"/>
    </row>
    <row r="96" spans="2:17" x14ac:dyDescent="0.25">
      <c r="B96" s="493"/>
      <c r="C96" s="484"/>
      <c r="D96" s="484"/>
      <c r="E96" s="484"/>
      <c r="F96" s="484"/>
      <c r="G96" s="484"/>
      <c r="H96" s="484"/>
      <c r="I96" s="494"/>
      <c r="J96" s="494"/>
      <c r="K96" s="495"/>
      <c r="L96" s="496"/>
      <c r="M96" s="496"/>
      <c r="N96" s="496"/>
      <c r="O96" s="496"/>
      <c r="P96" s="496"/>
      <c r="Q96" s="497"/>
    </row>
    <row r="97" spans="2:17" x14ac:dyDescent="0.25">
      <c r="B97" s="493"/>
      <c r="C97" s="498" t="s">
        <v>49</v>
      </c>
      <c r="D97" s="484"/>
      <c r="E97" s="484"/>
      <c r="F97" s="484"/>
      <c r="G97" s="484"/>
      <c r="H97" s="484"/>
      <c r="I97" s="484"/>
      <c r="J97" s="484"/>
      <c r="K97" s="484"/>
      <c r="L97" s="484"/>
      <c r="M97" s="484"/>
      <c r="N97" s="484"/>
      <c r="O97" s="484"/>
      <c r="P97" s="484"/>
      <c r="Q97" s="497"/>
    </row>
    <row r="98" spans="2:17" x14ac:dyDescent="0.25">
      <c r="B98" s="493"/>
      <c r="C98" s="498"/>
      <c r="D98" s="484"/>
      <c r="E98" s="484"/>
      <c r="F98" s="484"/>
      <c r="G98" s="484"/>
      <c r="H98" s="484"/>
      <c r="I98" s="484"/>
      <c r="J98" s="484"/>
      <c r="K98" s="484"/>
      <c r="L98" s="484"/>
      <c r="M98" s="484"/>
      <c r="N98" s="484"/>
      <c r="O98" s="484"/>
      <c r="P98" s="484"/>
      <c r="Q98" s="497"/>
    </row>
    <row r="99" spans="2:17" x14ac:dyDescent="0.25">
      <c r="B99" s="493"/>
      <c r="C99" s="484"/>
      <c r="D99" s="498" t="s">
        <v>6</v>
      </c>
      <c r="E99" s="499"/>
      <c r="F99" s="499"/>
      <c r="G99" s="500">
        <v>13978.5</v>
      </c>
      <c r="H99" s="500">
        <v>18611</v>
      </c>
      <c r="I99" s="500">
        <v>21173.4</v>
      </c>
      <c r="J99" s="500">
        <v>27558.5</v>
      </c>
      <c r="K99" s="500">
        <v>28262.9</v>
      </c>
      <c r="L99" s="500">
        <v>27582.31035</v>
      </c>
      <c r="M99" s="500">
        <v>30607.068464</v>
      </c>
      <c r="N99" s="500">
        <v>33420.506162960002</v>
      </c>
      <c r="O99" s="500">
        <v>36764.862560659203</v>
      </c>
      <c r="P99" s="500">
        <v>40302.410760024279</v>
      </c>
      <c r="Q99" s="497"/>
    </row>
    <row r="100" spans="2:17" x14ac:dyDescent="0.25">
      <c r="B100" s="493"/>
      <c r="C100" s="484"/>
      <c r="D100" s="501" t="s">
        <v>296</v>
      </c>
      <c r="E100" s="502"/>
      <c r="F100" s="502"/>
      <c r="G100" s="502"/>
      <c r="H100" s="479">
        <v>0.33140179561469396</v>
      </c>
      <c r="I100" s="479">
        <v>0.137682016012036</v>
      </c>
      <c r="J100" s="479">
        <v>0.30156233765007023</v>
      </c>
      <c r="K100" s="479">
        <v>2.5560171997750292E-2</v>
      </c>
      <c r="L100" s="479">
        <v>-2.4080672896270472E-2</v>
      </c>
      <c r="M100" s="479">
        <v>0.10966297150666349</v>
      </c>
      <c r="N100" s="479">
        <v>9.1921175079840323E-2</v>
      </c>
      <c r="O100" s="479">
        <v>0.10006899301261196</v>
      </c>
      <c r="P100" s="479">
        <v>9.622090096293423E-2</v>
      </c>
      <c r="Q100" s="497"/>
    </row>
    <row r="101" spans="2:17" x14ac:dyDescent="0.25">
      <c r="B101" s="493"/>
      <c r="C101" s="484"/>
      <c r="D101" s="484"/>
      <c r="E101" s="484"/>
      <c r="F101" s="484"/>
      <c r="G101" s="484"/>
      <c r="H101" s="484"/>
      <c r="I101" s="484"/>
      <c r="J101" s="484"/>
      <c r="K101" s="484"/>
      <c r="L101" s="484"/>
      <c r="M101" s="484"/>
      <c r="N101" s="484"/>
      <c r="O101" s="484"/>
      <c r="P101" s="484"/>
      <c r="Q101" s="497"/>
    </row>
    <row r="102" spans="2:17" x14ac:dyDescent="0.25">
      <c r="B102" s="493"/>
      <c r="C102" s="484"/>
      <c r="D102" s="484"/>
      <c r="E102" s="484"/>
      <c r="F102" s="484"/>
      <c r="G102" s="484"/>
      <c r="H102" s="484"/>
      <c r="I102" s="484"/>
      <c r="J102" s="484"/>
      <c r="K102" s="484"/>
      <c r="L102" s="484"/>
      <c r="M102" s="484"/>
      <c r="N102" s="484"/>
      <c r="O102" s="484"/>
      <c r="P102" s="484"/>
      <c r="Q102" s="497"/>
    </row>
    <row r="103" spans="2:17" x14ac:dyDescent="0.25">
      <c r="B103" s="493"/>
      <c r="C103" s="484"/>
      <c r="D103" s="498" t="s">
        <v>222</v>
      </c>
      <c r="E103" s="499"/>
      <c r="F103" s="499"/>
      <c r="G103" s="500">
        <v>5162.2000000000007</v>
      </c>
      <c r="H103" s="500">
        <v>7906.4999999999991</v>
      </c>
      <c r="I103" s="500">
        <v>8196.9</v>
      </c>
      <c r="J103" s="500">
        <v>10559.4</v>
      </c>
      <c r="K103" s="500">
        <v>11137.2</v>
      </c>
      <c r="L103" s="500">
        <v>11716.849051433335</v>
      </c>
      <c r="M103" s="500">
        <v>12478.243783957334</v>
      </c>
      <c r="N103" s="500">
        <v>13766.165283188695</v>
      </c>
      <c r="O103" s="500">
        <v>15146.375992361323</v>
      </c>
      <c r="P103" s="500">
        <v>16676.623466904166</v>
      </c>
      <c r="Q103" s="497"/>
    </row>
    <row r="104" spans="2:17" x14ac:dyDescent="0.25">
      <c r="B104" s="493"/>
      <c r="C104" s="484"/>
      <c r="D104" s="501" t="s">
        <v>297</v>
      </c>
      <c r="E104" s="502"/>
      <c r="F104" s="502"/>
      <c r="G104" s="479">
        <v>0.36929570411703694</v>
      </c>
      <c r="H104" s="479">
        <v>0.42482940196657887</v>
      </c>
      <c r="I104" s="479">
        <v>0.38713196746861622</v>
      </c>
      <c r="J104" s="479">
        <v>0.38316308942794419</v>
      </c>
      <c r="K104" s="479">
        <v>0.3940572269653857</v>
      </c>
      <c r="L104" s="479">
        <v>0.42479578043879618</v>
      </c>
      <c r="M104" s="479">
        <v>0.40769156963314634</v>
      </c>
      <c r="N104" s="479">
        <v>0.41190774358904703</v>
      </c>
      <c r="O104" s="479">
        <v>0.41197967127909058</v>
      </c>
      <c r="P104" s="479">
        <v>0.41378724380045301</v>
      </c>
      <c r="Q104" s="497"/>
    </row>
    <row r="105" spans="2:17" x14ac:dyDescent="0.25">
      <c r="B105" s="493"/>
      <c r="C105" s="484"/>
      <c r="D105" s="501" t="s">
        <v>296</v>
      </c>
      <c r="E105" s="502"/>
      <c r="F105" s="502"/>
      <c r="G105" s="480"/>
      <c r="H105" s="479">
        <v>0.53161442795707226</v>
      </c>
      <c r="I105" s="479">
        <v>3.6729273382659855E-2</v>
      </c>
      <c r="J105" s="479">
        <v>0.28821871683197298</v>
      </c>
      <c r="K105" s="479">
        <v>5.4719018126029972E-2</v>
      </c>
      <c r="L105" s="479">
        <v>5.2046210127620451E-2</v>
      </c>
      <c r="M105" s="479">
        <v>6.4982891661547582E-2</v>
      </c>
      <c r="N105" s="479">
        <v>0.10321336251557911</v>
      </c>
      <c r="O105" s="479">
        <v>0.10026108802123335</v>
      </c>
      <c r="P105" s="479">
        <v>0.10103060133424546</v>
      </c>
      <c r="Q105" s="497"/>
    </row>
    <row r="106" spans="2:17" x14ac:dyDescent="0.25">
      <c r="B106" s="493"/>
      <c r="C106" s="484"/>
      <c r="D106" s="484"/>
      <c r="E106" s="484"/>
      <c r="F106" s="484"/>
      <c r="G106" s="484"/>
      <c r="H106" s="484"/>
      <c r="I106" s="484"/>
      <c r="J106" s="484"/>
      <c r="K106" s="484"/>
      <c r="L106" s="484"/>
      <c r="M106" s="484"/>
      <c r="N106" s="484"/>
      <c r="O106" s="484"/>
      <c r="P106" s="484"/>
      <c r="Q106" s="497"/>
    </row>
    <row r="107" spans="2:17" x14ac:dyDescent="0.25">
      <c r="B107" s="493"/>
      <c r="C107" s="484"/>
      <c r="D107" s="484"/>
      <c r="E107" s="484"/>
      <c r="F107" s="484"/>
      <c r="G107" s="484"/>
      <c r="H107" s="484"/>
      <c r="I107" s="484"/>
      <c r="J107" s="484"/>
      <c r="K107" s="484"/>
      <c r="L107" s="484"/>
      <c r="M107" s="484"/>
      <c r="N107" s="484"/>
      <c r="O107" s="484"/>
      <c r="P107" s="484"/>
      <c r="Q107" s="497"/>
    </row>
    <row r="108" spans="2:17" x14ac:dyDescent="0.25">
      <c r="B108" s="493"/>
      <c r="C108" s="484"/>
      <c r="D108" s="498" t="s">
        <v>20</v>
      </c>
      <c r="E108" s="499"/>
      <c r="F108" s="499"/>
      <c r="G108" s="500">
        <v>3696.8000000000006</v>
      </c>
      <c r="H108" s="500">
        <v>6134.5999999999985</v>
      </c>
      <c r="I108" s="500">
        <v>6395.7999999999993</v>
      </c>
      <c r="J108" s="500">
        <v>8115.1999999999989</v>
      </c>
      <c r="K108" s="500">
        <v>8349</v>
      </c>
      <c r="L108" s="500">
        <v>8174.7015713420024</v>
      </c>
      <c r="M108" s="500">
        <v>9056.1584449218772</v>
      </c>
      <c r="N108" s="500">
        <v>9932.3578731700654</v>
      </c>
      <c r="O108" s="500">
        <v>10958.745842041162</v>
      </c>
      <c r="P108" s="500">
        <v>12055.487840295513</v>
      </c>
      <c r="Q108" s="497"/>
    </row>
    <row r="109" spans="2:17" x14ac:dyDescent="0.25">
      <c r="B109" s="493"/>
      <c r="C109" s="484"/>
      <c r="D109" s="501" t="s">
        <v>297</v>
      </c>
      <c r="E109" s="502"/>
      <c r="F109" s="502"/>
      <c r="G109" s="479">
        <v>0.26446328289873738</v>
      </c>
      <c r="H109" s="479">
        <v>0.32962226640159037</v>
      </c>
      <c r="I109" s="479">
        <v>0.30206768870375089</v>
      </c>
      <c r="J109" s="479">
        <v>0.29447176007402431</v>
      </c>
      <c r="K109" s="479">
        <v>0.29540493013809621</v>
      </c>
      <c r="L109" s="479">
        <v>0.29637479484534923</v>
      </c>
      <c r="M109" s="479">
        <v>0.29588454234268535</v>
      </c>
      <c r="N109" s="479">
        <v>0.29719352019204642</v>
      </c>
      <c r="O109" s="479">
        <v>0.29807661660532725</v>
      </c>
      <c r="P109" s="479">
        <v>0.29912572506092561</v>
      </c>
      <c r="Q109" s="497"/>
    </row>
    <row r="110" spans="2:17" x14ac:dyDescent="0.25">
      <c r="B110" s="493"/>
      <c r="C110" s="484"/>
      <c r="D110" s="501" t="s">
        <v>296</v>
      </c>
      <c r="E110" s="502"/>
      <c r="F110" s="502"/>
      <c r="G110" s="480"/>
      <c r="H110" s="479">
        <v>0.65943518718891947</v>
      </c>
      <c r="I110" s="479">
        <v>4.2578163205425179E-2</v>
      </c>
      <c r="J110" s="479">
        <v>0.26883267144063283</v>
      </c>
      <c r="K110" s="479">
        <v>2.8810134069400695E-2</v>
      </c>
      <c r="L110" s="479">
        <v>-2.0876563499580558E-2</v>
      </c>
      <c r="M110" s="479">
        <v>0.10782740701752247</v>
      </c>
      <c r="N110" s="479">
        <v>9.6751777652422266E-2</v>
      </c>
      <c r="O110" s="479">
        <v>0.10333779571552126</v>
      </c>
      <c r="P110" s="479">
        <v>0.10007915267520007</v>
      </c>
      <c r="Q110" s="497"/>
    </row>
    <row r="111" spans="2:17" x14ac:dyDescent="0.25">
      <c r="B111" s="493"/>
      <c r="C111" s="484"/>
      <c r="D111" s="501"/>
      <c r="E111" s="502"/>
      <c r="F111" s="502"/>
      <c r="G111" s="480"/>
      <c r="H111" s="480"/>
      <c r="I111" s="480"/>
      <c r="J111" s="480"/>
      <c r="K111" s="480"/>
      <c r="L111" s="480"/>
      <c r="M111" s="480"/>
      <c r="N111" s="480"/>
      <c r="O111" s="480"/>
      <c r="P111" s="480"/>
      <c r="Q111" s="497"/>
    </row>
    <row r="112" spans="2:17" x14ac:dyDescent="0.25">
      <c r="B112" s="94"/>
      <c r="C112" s="498" t="s">
        <v>298</v>
      </c>
      <c r="Q112" s="506"/>
    </row>
    <row r="113" spans="2:17" x14ac:dyDescent="0.25">
      <c r="B113" s="94"/>
      <c r="Q113" s="506"/>
    </row>
    <row r="114" spans="2:17" x14ac:dyDescent="0.25">
      <c r="B114" s="94"/>
      <c r="D114" s="498" t="s">
        <v>64</v>
      </c>
      <c r="F114" s="499"/>
      <c r="G114" s="500">
        <v>5306.5999999999995</v>
      </c>
      <c r="H114" s="500">
        <v>11592.6</v>
      </c>
      <c r="I114" s="500">
        <v>9434.9</v>
      </c>
      <c r="J114" s="500">
        <v>6536.2000000000007</v>
      </c>
      <c r="K114" s="500">
        <v>12369.7</v>
      </c>
      <c r="L114" s="500">
        <v>10391.680935083061</v>
      </c>
      <c r="M114" s="500">
        <v>12124.474394770914</v>
      </c>
      <c r="N114" s="500">
        <v>12881.335292028793</v>
      </c>
      <c r="O114" s="500">
        <v>14747.128612994265</v>
      </c>
      <c r="P114" s="500">
        <v>15855.416589637365</v>
      </c>
      <c r="Q114" s="506"/>
    </row>
    <row r="115" spans="2:17" x14ac:dyDescent="0.25">
      <c r="B115" s="94"/>
      <c r="C115" s="484"/>
      <c r="D115" s="484" t="s">
        <v>299</v>
      </c>
      <c r="G115" s="500">
        <v>-962</v>
      </c>
      <c r="H115" s="500">
        <v>-900.7</v>
      </c>
      <c r="I115" s="500">
        <v>-1281.8</v>
      </c>
      <c r="J115" s="500">
        <v>-2155.6</v>
      </c>
      <c r="K115" s="500">
        <v>-2067.1999999999998</v>
      </c>
      <c r="L115" s="500">
        <v>-1654.938621</v>
      </c>
      <c r="M115" s="500">
        <v>-1836.42410784</v>
      </c>
      <c r="N115" s="500">
        <v>-2005.2303697776001</v>
      </c>
      <c r="O115" s="500">
        <v>-2205.891753639552</v>
      </c>
      <c r="P115" s="500">
        <v>-2418.1446456014564</v>
      </c>
      <c r="Q115" s="506"/>
    </row>
    <row r="116" spans="2:17" x14ac:dyDescent="0.25">
      <c r="B116" s="94"/>
      <c r="C116" s="484"/>
      <c r="D116" s="484" t="s">
        <v>300</v>
      </c>
      <c r="G116" s="500">
        <v>-658.9</v>
      </c>
      <c r="H116" s="500">
        <v>-725</v>
      </c>
      <c r="I116" s="500">
        <v>-930.6</v>
      </c>
      <c r="J116" s="500">
        <v>-985.9</v>
      </c>
      <c r="K116" s="500">
        <v>-1138.4000000000001</v>
      </c>
      <c r="L116" s="500">
        <v>-1103.292414</v>
      </c>
      <c r="M116" s="500">
        <v>-1224.2827385600001</v>
      </c>
      <c r="N116" s="500">
        <v>-1336.8202465184002</v>
      </c>
      <c r="O116" s="500">
        <v>-1470.5945024263681</v>
      </c>
      <c r="P116" s="500">
        <v>-1612.0964304009713</v>
      </c>
      <c r="Q116" s="506"/>
    </row>
    <row r="117" spans="2:17" x14ac:dyDescent="0.25">
      <c r="B117" s="94"/>
      <c r="D117" s="498" t="s">
        <v>301</v>
      </c>
      <c r="F117" s="499"/>
      <c r="G117" s="159">
        <v>0</v>
      </c>
      <c r="H117" s="159">
        <v>0</v>
      </c>
      <c r="I117" s="159">
        <v>0</v>
      </c>
      <c r="J117" s="159">
        <v>0</v>
      </c>
      <c r="K117" s="159">
        <v>0</v>
      </c>
      <c r="L117" s="500">
        <v>5716.97276553355</v>
      </c>
      <c r="M117" s="500">
        <v>7341.6717330387137</v>
      </c>
      <c r="N117" s="500">
        <v>8446.3294301634523</v>
      </c>
      <c r="O117" s="500">
        <v>8987.5123281873384</v>
      </c>
      <c r="P117" s="500">
        <v>10168.761135287263</v>
      </c>
      <c r="Q117" s="506"/>
    </row>
    <row r="118" spans="2:17" x14ac:dyDescent="0.25">
      <c r="B118" s="94"/>
      <c r="Q118" s="506"/>
    </row>
    <row r="119" spans="2:17" x14ac:dyDescent="0.25">
      <c r="B119" s="94"/>
      <c r="C119" s="498" t="s">
        <v>302</v>
      </c>
      <c r="Q119" s="506"/>
    </row>
    <row r="120" spans="2:17" x14ac:dyDescent="0.25">
      <c r="B120" s="94"/>
      <c r="Q120" s="506"/>
    </row>
    <row r="121" spans="2:17" x14ac:dyDescent="0.25">
      <c r="B121" s="94"/>
      <c r="D121" s="498" t="s">
        <v>34</v>
      </c>
      <c r="F121" s="499"/>
      <c r="G121" s="500">
        <v>28866.699999999997</v>
      </c>
      <c r="H121" s="500">
        <v>32131.1</v>
      </c>
      <c r="I121" s="500">
        <v>38826</v>
      </c>
      <c r="J121" s="500">
        <v>43078.6</v>
      </c>
      <c r="K121" s="500">
        <v>52566.5</v>
      </c>
      <c r="L121" s="500">
        <v>54887.652827578073</v>
      </c>
      <c r="M121" s="500">
        <v>61284.912134494167</v>
      </c>
      <c r="N121" s="500">
        <v>67363.044105387991</v>
      </c>
      <c r="O121" s="500">
        <v>74792.753571124136</v>
      </c>
      <c r="P121" s="500">
        <v>82467.95820066407</v>
      </c>
      <c r="Q121" s="506"/>
    </row>
    <row r="122" spans="2:17" x14ac:dyDescent="0.25">
      <c r="B122" s="94"/>
      <c r="D122" s="498" t="s">
        <v>303</v>
      </c>
      <c r="G122" s="500">
        <v>-1386.5999999999995</v>
      </c>
      <c r="H122" s="500">
        <v>-2876.8</v>
      </c>
      <c r="I122" s="500">
        <v>-3754.1000000000004</v>
      </c>
      <c r="J122" s="500">
        <v>-2373.1999999999998</v>
      </c>
      <c r="K122" s="500">
        <v>-9058.5999999999985</v>
      </c>
      <c r="L122" s="500">
        <v>-9833.6440358449618</v>
      </c>
      <c r="M122" s="500">
        <v>-13916.524439508845</v>
      </c>
      <c r="N122" s="500">
        <v>-17993.012284998102</v>
      </c>
      <c r="O122" s="500">
        <v>-23036.344428803808</v>
      </c>
      <c r="P122" s="500">
        <v>-28231.001630276212</v>
      </c>
      <c r="Q122" s="507"/>
    </row>
    <row r="123" spans="2:17" x14ac:dyDescent="0.25">
      <c r="B123" s="94"/>
      <c r="D123" s="498" t="s">
        <v>304</v>
      </c>
      <c r="F123" s="499"/>
      <c r="G123" s="500">
        <v>15300.9</v>
      </c>
      <c r="H123" s="500">
        <v>11843.8</v>
      </c>
      <c r="I123" s="500">
        <v>11286</v>
      </c>
      <c r="J123" s="500">
        <v>16209.5</v>
      </c>
      <c r="K123" s="500">
        <v>22021.9</v>
      </c>
      <c r="L123" s="500">
        <v>25838.427258853902</v>
      </c>
      <c r="M123" s="500">
        <v>30066.733901388747</v>
      </c>
      <c r="N123" s="500">
        <v>34703.39747513007</v>
      </c>
      <c r="O123" s="500">
        <v>39818.6574168519</v>
      </c>
      <c r="P123" s="500">
        <v>45445.138998784998</v>
      </c>
      <c r="Q123" s="506"/>
    </row>
    <row r="124" spans="2:17" x14ac:dyDescent="0.25">
      <c r="B124" s="94"/>
      <c r="Q124" s="506"/>
    </row>
    <row r="125" spans="2:17" x14ac:dyDescent="0.25">
      <c r="B125" s="94"/>
      <c r="C125" s="498" t="s">
        <v>305</v>
      </c>
      <c r="Q125" s="506"/>
    </row>
    <row r="126" spans="2:17" x14ac:dyDescent="0.25">
      <c r="B126" s="94"/>
      <c r="Q126" s="506"/>
    </row>
    <row r="127" spans="2:17" x14ac:dyDescent="0.25">
      <c r="B127" s="94"/>
      <c r="D127" s="484" t="s">
        <v>306</v>
      </c>
      <c r="G127" s="159">
        <v>0</v>
      </c>
      <c r="H127" s="159">
        <v>0</v>
      </c>
      <c r="I127" s="159">
        <v>0</v>
      </c>
      <c r="J127" s="159">
        <v>0</v>
      </c>
      <c r="K127" s="159">
        <v>0</v>
      </c>
      <c r="L127" s="504">
        <v>319.84683009764655</v>
      </c>
      <c r="M127" s="504"/>
      <c r="N127" s="504"/>
      <c r="O127" s="504"/>
      <c r="P127" s="504"/>
      <c r="Q127" s="506"/>
    </row>
    <row r="128" spans="2:17" x14ac:dyDescent="0.25">
      <c r="B128" s="94"/>
      <c r="D128" s="484" t="s">
        <v>307</v>
      </c>
      <c r="G128" s="159">
        <v>0</v>
      </c>
      <c r="H128" s="159">
        <v>0</v>
      </c>
      <c r="I128" s="159">
        <v>0</v>
      </c>
      <c r="J128" s="159">
        <v>0</v>
      </c>
      <c r="K128" s="159">
        <v>0</v>
      </c>
      <c r="L128" s="504">
        <v>918.98166687943888</v>
      </c>
      <c r="M128" s="504"/>
      <c r="N128" s="504"/>
      <c r="O128" s="504"/>
      <c r="P128" s="504"/>
      <c r="Q128" s="506"/>
    </row>
    <row r="129" spans="2:17" x14ac:dyDescent="0.25">
      <c r="B129" s="94"/>
      <c r="D129" s="484" t="s">
        <v>246</v>
      </c>
      <c r="G129" s="159">
        <v>0</v>
      </c>
      <c r="H129" s="159">
        <v>0</v>
      </c>
      <c r="I129" s="159">
        <v>0</v>
      </c>
      <c r="J129" s="159">
        <v>0</v>
      </c>
      <c r="K129" s="159">
        <v>0</v>
      </c>
      <c r="L129" s="504">
        <v>1179.5999999999999</v>
      </c>
      <c r="M129" s="504"/>
      <c r="N129" s="504"/>
      <c r="O129" s="504"/>
      <c r="P129" s="504"/>
      <c r="Q129" s="506"/>
    </row>
    <row r="130" spans="2:17" x14ac:dyDescent="0.25">
      <c r="B130" s="94"/>
      <c r="D130" s="484" t="s">
        <v>308</v>
      </c>
      <c r="G130" s="159">
        <v>0</v>
      </c>
      <c r="H130" s="159">
        <v>0</v>
      </c>
      <c r="I130" s="159">
        <v>0</v>
      </c>
      <c r="J130" s="159">
        <v>0</v>
      </c>
      <c r="K130" s="159">
        <v>0</v>
      </c>
      <c r="L130" s="505">
        <v>-0.72885144956116776</v>
      </c>
      <c r="M130" s="504"/>
      <c r="N130" s="504"/>
      <c r="O130" s="504"/>
      <c r="P130" s="504"/>
      <c r="Q130" s="506"/>
    </row>
    <row r="131" spans="2:17" x14ac:dyDescent="0.25">
      <c r="B131" s="94"/>
      <c r="C131" s="29"/>
      <c r="D131" s="503" t="s">
        <v>309</v>
      </c>
      <c r="E131" s="29"/>
      <c r="F131" s="29"/>
      <c r="G131" s="159">
        <v>0</v>
      </c>
      <c r="H131" s="159">
        <v>0</v>
      </c>
      <c r="I131" s="159">
        <v>0</v>
      </c>
      <c r="J131" s="159">
        <v>0</v>
      </c>
      <c r="K131" s="159">
        <v>0</v>
      </c>
      <c r="L131" s="505">
        <v>-0.2209378883694143</v>
      </c>
      <c r="M131" s="504"/>
      <c r="N131" s="504"/>
      <c r="O131" s="504"/>
      <c r="P131" s="504"/>
      <c r="Q131" s="506"/>
    </row>
    <row r="132" spans="2:17" x14ac:dyDescent="0.25">
      <c r="B132" s="153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08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8856695E-B0B2-478B-8402-E95F91B7224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Summary!L13:P13</xm:f>
              <xm:sqref>F13</xm:sqref>
            </x14:sparkline>
          </x14:sparklines>
        </x14:sparklineGroup>
        <x14:sparklineGroup displayEmptyCellsAs="gap" xr2:uid="{50282D9B-3BB5-47E2-A008-862F44DB106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Summary!L17:P17</xm:f>
              <xm:sqref>F17</xm:sqref>
            </x14:sparkline>
          </x14:sparklines>
        </x14:sparklineGroup>
        <x14:sparklineGroup displayEmptyCellsAs="gap" xr2:uid="{E84DEBB7-6CB3-40FD-9BC5-38DCED78E4F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Summary!L22:P22</xm:f>
              <xm:sqref>F22</xm:sqref>
            </x14:sparkline>
          </x14:sparklines>
        </x14:sparklineGroup>
        <x14:sparklineGroup displayEmptyCellsAs="gap" xr2:uid="{4AE9959F-1EEE-4D05-9623-5E22B46556D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Summary!L28:P28</xm:f>
              <xm:sqref>F28</xm:sqref>
            </x14:sparkline>
          </x14:sparklines>
        </x14:sparklineGroup>
        <x14:sparklineGroup displayEmptyCellsAs="gap" xr2:uid="{5B62A18A-B73E-4811-AB0C-779BF35EC3F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Summary!L31:P31</xm:f>
              <xm:sqref>F31</xm:sqref>
            </x14:sparkline>
          </x14:sparklines>
        </x14:sparklineGroup>
        <x14:sparklineGroup displayEmptyCellsAs="gap" xr2:uid="{C70D8A64-B573-4D93-A598-AC1F87C2B11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Summary!L35:P35</xm:f>
              <xm:sqref>F35</xm:sqref>
            </x14:sparkline>
            <x14:sparkline>
              <xm:f>Summary!L37:P37</xm:f>
              <xm:sqref>F37</xm:sqref>
            </x14:sparkline>
          </x14:sparklines>
        </x14:sparklineGroup>
        <x14:sparklineGroup displayEmptyCellsAs="gap" xr2:uid="{9033308F-8A38-4A8B-A2D4-EDF4B607282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Summary!L56:P56</xm:f>
              <xm:sqref>F56</xm:sqref>
            </x14:sparkline>
          </x14:sparklines>
        </x14:sparklineGroup>
        <x14:sparklineGroup displayEmptyCellsAs="gap" xr2:uid="{50602A3D-6293-487C-A23B-757E02873D5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Summary!L60:P60</xm:f>
              <xm:sqref>F60</xm:sqref>
            </x14:sparkline>
          </x14:sparklines>
        </x14:sparklineGroup>
        <x14:sparklineGroup displayEmptyCellsAs="gap" xr2:uid="{7852AB12-2407-430B-A991-24455905E44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Summary!L65:P65</xm:f>
              <xm:sqref>F65</xm:sqref>
            </x14:sparkline>
          </x14:sparklines>
        </x14:sparklineGroup>
        <x14:sparklineGroup displayEmptyCellsAs="gap" xr2:uid="{832BB867-837A-478E-9DFA-A8E369CCD7A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Summary!L71:P71</xm:f>
              <xm:sqref>F71</xm:sqref>
            </x14:sparkline>
          </x14:sparklines>
        </x14:sparklineGroup>
        <x14:sparklineGroup displayEmptyCellsAs="gap" xr2:uid="{3DCF8D31-16C4-4694-AE44-4DA01DD85BE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Summary!L74:P74</xm:f>
              <xm:sqref>F74</xm:sqref>
            </x14:sparkline>
          </x14:sparklines>
        </x14:sparklineGroup>
        <x14:sparklineGroup displayEmptyCellsAs="gap" xr2:uid="{B70BA9B5-A635-4DA6-B988-8CFF1B0063E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Summary!L78:P78</xm:f>
              <xm:sqref>F78</xm:sqref>
            </x14:sparkline>
          </x14:sparklines>
        </x14:sparklineGroup>
        <x14:sparklineGroup displayEmptyCellsAs="gap" xr2:uid="{DF8D4FB8-6042-4437-8E89-9188A05C598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Summary!L80:P80</xm:f>
              <xm:sqref>F80</xm:sqref>
            </x14:sparkline>
          </x14:sparklines>
        </x14:sparklineGroup>
        <x14:sparklineGroup displayEmptyCellsAs="gap" xr2:uid="{90ACB63A-B8D9-4ACF-AEF4-515D8432DE2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Summary!L99:P99</xm:f>
              <xm:sqref>F99</xm:sqref>
            </x14:sparkline>
          </x14:sparklines>
        </x14:sparklineGroup>
        <x14:sparklineGroup displayEmptyCellsAs="gap" xr2:uid="{3B0C40D1-FA8C-4732-8600-A45A06A7EB9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Summary!L103:P103</xm:f>
              <xm:sqref>F103</xm:sqref>
            </x14:sparkline>
          </x14:sparklines>
        </x14:sparklineGroup>
        <x14:sparklineGroup displayEmptyCellsAs="gap" xr2:uid="{A8C71020-D0D1-4BDC-94A4-B7C058E8E6F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Summary!L108:P108</xm:f>
              <xm:sqref>F108</xm:sqref>
            </x14:sparkline>
          </x14:sparklines>
        </x14:sparklineGroup>
        <x14:sparklineGroup displayEmptyCellsAs="gap" xr2:uid="{FB8FF861-B6F4-41D9-B3B2-466789F484D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Summary!L114:P114</xm:f>
              <xm:sqref>F114</xm:sqref>
            </x14:sparkline>
          </x14:sparklines>
        </x14:sparklineGroup>
        <x14:sparklineGroup displayEmptyCellsAs="gap" xr2:uid="{7AC1872C-03CB-4A94-8847-1E1D095E3E7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Summary!L117:P117</xm:f>
              <xm:sqref>F117</xm:sqref>
            </x14:sparkline>
          </x14:sparklines>
        </x14:sparklineGroup>
        <x14:sparklineGroup displayEmptyCellsAs="gap" xr2:uid="{6E299932-4CD3-4FC6-985F-397DA9E5A7D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Summary!L121:P121</xm:f>
              <xm:sqref>F121</xm:sqref>
            </x14:sparkline>
          </x14:sparklines>
        </x14:sparklineGroup>
        <x14:sparklineGroup displayEmptyCellsAs="gap" xr2:uid="{8F755CF7-5129-4258-9315-96DC3E2EB3D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Summary!L123:P123</xm:f>
              <xm:sqref>F123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53C80-0B67-4457-9A05-400EEEBA9A93}">
  <dimension ref="A1:T74"/>
  <sheetViews>
    <sheetView showGridLines="0" topLeftCell="A53" zoomScale="98" zoomScaleNormal="98" workbookViewId="0">
      <selection activeCell="S74" sqref="S74"/>
    </sheetView>
  </sheetViews>
  <sheetFormatPr defaultRowHeight="13.2" x14ac:dyDescent="0.25"/>
  <cols>
    <col min="1" max="1" width="8.88671875" style="137"/>
    <col min="2" max="2" width="2.77734375" style="137" customWidth="1"/>
    <col min="3" max="3" width="8.88671875" style="137"/>
    <col min="4" max="7" width="11.21875" style="137" customWidth="1"/>
    <col min="8" max="8" width="11.21875" style="137" bestFit="1" customWidth="1"/>
    <col min="9" max="10" width="8.88671875" style="137"/>
    <col min="11" max="11" width="2.77734375" style="137" customWidth="1"/>
    <col min="12" max="12" width="8.88671875" style="137"/>
    <col min="13" max="17" width="11.21875" style="137" customWidth="1"/>
    <col min="18" max="18" width="9.109375" style="137" bestFit="1" customWidth="1"/>
    <col min="19" max="16384" width="8.88671875" style="137"/>
  </cols>
  <sheetData>
    <row r="1" spans="1:17" x14ac:dyDescent="0.25">
      <c r="A1" s="137" t="s">
        <v>294</v>
      </c>
    </row>
    <row r="2" spans="1:17" ht="22.8" x14ac:dyDescent="0.4">
      <c r="C2" s="165" t="s">
        <v>293</v>
      </c>
      <c r="D2" s="166"/>
      <c r="E2" s="166"/>
      <c r="F2" s="166"/>
      <c r="G2" s="166"/>
      <c r="H2" s="166"/>
      <c r="I2" s="166"/>
      <c r="J2" s="166"/>
      <c r="K2" s="166"/>
      <c r="L2" s="166"/>
    </row>
    <row r="3" spans="1:17" ht="17.399999999999999" x14ac:dyDescent="0.3">
      <c r="C3" s="168" t="s">
        <v>295</v>
      </c>
      <c r="D3" s="168"/>
      <c r="E3" s="168"/>
      <c r="F3" s="168"/>
      <c r="G3" s="168"/>
      <c r="H3" s="168"/>
      <c r="I3" s="168"/>
      <c r="J3" s="168"/>
      <c r="K3" s="168"/>
      <c r="L3" s="168"/>
    </row>
    <row r="4" spans="1:17" ht="13.8" thickBot="1" x14ac:dyDescent="0.3">
      <c r="C4" s="169"/>
      <c r="D4" s="169"/>
      <c r="E4" s="170"/>
      <c r="F4" s="170"/>
      <c r="G4" s="169"/>
      <c r="H4" s="169"/>
      <c r="I4" s="169"/>
      <c r="J4" s="169"/>
      <c r="K4" s="169"/>
      <c r="L4" s="169"/>
    </row>
    <row r="8" spans="1:17" x14ac:dyDescent="0.25">
      <c r="B8" s="223"/>
    </row>
    <row r="10" spans="1:17" x14ac:dyDescent="0.25">
      <c r="B10" s="228" t="s">
        <v>183</v>
      </c>
      <c r="C10" s="229"/>
      <c r="D10" s="229"/>
      <c r="E10" s="229"/>
      <c r="F10" s="229"/>
      <c r="G10" s="229"/>
      <c r="H10" s="234"/>
      <c r="K10" s="228" t="s">
        <v>194</v>
      </c>
      <c r="L10" s="229"/>
      <c r="M10" s="229"/>
      <c r="N10" s="229"/>
      <c r="O10" s="229"/>
      <c r="P10" s="229"/>
      <c r="Q10" s="234"/>
    </row>
    <row r="11" spans="1:17" x14ac:dyDescent="0.25">
      <c r="B11" s="230" t="s">
        <v>7</v>
      </c>
      <c r="C11" s="224" t="s">
        <v>8</v>
      </c>
      <c r="H11" s="238">
        <v>2025</v>
      </c>
      <c r="K11" s="230" t="s">
        <v>7</v>
      </c>
      <c r="L11" s="224" t="s">
        <v>195</v>
      </c>
      <c r="N11" s="227"/>
      <c r="O11" s="227"/>
      <c r="P11" s="227"/>
      <c r="Q11" s="251">
        <v>0.02</v>
      </c>
    </row>
    <row r="12" spans="1:17" x14ac:dyDescent="0.25">
      <c r="B12" s="230" t="s">
        <v>7</v>
      </c>
      <c r="C12" s="225" t="s">
        <v>180</v>
      </c>
      <c r="H12" s="235"/>
      <c r="K12" s="230" t="s">
        <v>7</v>
      </c>
      <c r="L12" s="224" t="s">
        <v>196</v>
      </c>
      <c r="N12" s="227"/>
      <c r="O12" s="227"/>
      <c r="P12" s="227"/>
      <c r="Q12" s="252">
        <v>0.04</v>
      </c>
    </row>
    <row r="13" spans="1:17" x14ac:dyDescent="0.25">
      <c r="B13" s="231"/>
      <c r="C13" s="137" t="s">
        <v>181</v>
      </c>
      <c r="H13" s="235"/>
      <c r="K13" s="245" t="s">
        <v>7</v>
      </c>
      <c r="L13" s="250" t="s">
        <v>197</v>
      </c>
      <c r="M13" s="233"/>
      <c r="N13" s="233"/>
      <c r="O13" s="233"/>
      <c r="P13" s="233"/>
      <c r="Q13" s="253">
        <v>3.5000000000000003E-2</v>
      </c>
    </row>
    <row r="14" spans="1:17" x14ac:dyDescent="0.25">
      <c r="B14" s="231"/>
      <c r="C14" s="137" t="s">
        <v>182</v>
      </c>
      <c r="H14" s="235"/>
    </row>
    <row r="15" spans="1:17" x14ac:dyDescent="0.25">
      <c r="B15" s="231"/>
      <c r="H15" s="235"/>
    </row>
    <row r="16" spans="1:17" x14ac:dyDescent="0.25">
      <c r="B16" s="230"/>
      <c r="C16" s="237" t="s">
        <v>184</v>
      </c>
      <c r="D16" s="237"/>
      <c r="E16" s="237"/>
      <c r="F16" s="237" t="s">
        <v>185</v>
      </c>
      <c r="H16" s="235"/>
      <c r="K16" s="228" t="s">
        <v>198</v>
      </c>
      <c r="L16" s="229"/>
      <c r="M16" s="229"/>
      <c r="N16" s="229"/>
      <c r="O16" s="229"/>
      <c r="P16" s="229"/>
      <c r="Q16" s="234"/>
    </row>
    <row r="17" spans="2:20" x14ac:dyDescent="0.25">
      <c r="B17" s="231"/>
      <c r="C17" s="240" t="s">
        <v>177</v>
      </c>
      <c r="F17" s="137" t="s">
        <v>186</v>
      </c>
      <c r="H17" s="235"/>
      <c r="K17" s="230"/>
      <c r="L17" s="226"/>
      <c r="N17" s="227"/>
      <c r="O17" s="227"/>
      <c r="P17" s="227"/>
      <c r="Q17" s="235"/>
    </row>
    <row r="18" spans="2:20" x14ac:dyDescent="0.25">
      <c r="B18" s="231"/>
      <c r="C18" s="241" t="s">
        <v>178</v>
      </c>
      <c r="F18" s="137" t="s">
        <v>187</v>
      </c>
      <c r="H18" s="235"/>
      <c r="K18" s="230" t="s">
        <v>7</v>
      </c>
      <c r="L18" s="224" t="s">
        <v>199</v>
      </c>
      <c r="N18" s="227"/>
      <c r="O18" s="227"/>
      <c r="P18" s="227"/>
      <c r="Q18" s="252">
        <v>0.16</v>
      </c>
    </row>
    <row r="19" spans="2:20" x14ac:dyDescent="0.25">
      <c r="B19" s="232"/>
      <c r="C19" s="242" t="s">
        <v>179</v>
      </c>
      <c r="D19" s="233"/>
      <c r="E19" s="233"/>
      <c r="F19" s="233" t="s">
        <v>188</v>
      </c>
      <c r="G19" s="233"/>
      <c r="H19" s="236"/>
      <c r="K19" s="245"/>
      <c r="L19" s="246"/>
      <c r="M19" s="233"/>
      <c r="N19" s="233"/>
      <c r="O19" s="233"/>
      <c r="P19" s="233"/>
      <c r="Q19" s="236"/>
    </row>
    <row r="21" spans="2:20" ht="13.8" x14ac:dyDescent="0.3">
      <c r="T21" s="387"/>
    </row>
    <row r="22" spans="2:20" x14ac:dyDescent="0.25">
      <c r="B22" s="228" t="s">
        <v>189</v>
      </c>
      <c r="C22" s="229"/>
      <c r="D22" s="229"/>
      <c r="E22" s="229"/>
      <c r="F22" s="229"/>
      <c r="G22" s="229"/>
      <c r="H22" s="234"/>
      <c r="K22" s="228" t="s">
        <v>239</v>
      </c>
      <c r="L22" s="229"/>
      <c r="M22" s="229"/>
      <c r="N22" s="229"/>
      <c r="O22" s="229"/>
      <c r="P22" s="229"/>
      <c r="Q22" s="234"/>
    </row>
    <row r="23" spans="2:20" x14ac:dyDescent="0.25">
      <c r="B23" s="230" t="s">
        <v>7</v>
      </c>
      <c r="C23" s="226" t="s">
        <v>190</v>
      </c>
      <c r="E23" s="227"/>
      <c r="F23" s="227"/>
      <c r="G23" s="227"/>
      <c r="H23" s="244" t="s">
        <v>191</v>
      </c>
      <c r="K23" s="230" t="s">
        <v>7</v>
      </c>
      <c r="L23" s="226" t="s">
        <v>240</v>
      </c>
      <c r="N23" s="227"/>
      <c r="O23" s="227"/>
      <c r="P23" s="227"/>
      <c r="Q23" s="257">
        <v>2.9899999999999999E-2</v>
      </c>
    </row>
    <row r="24" spans="2:20" x14ac:dyDescent="0.25">
      <c r="B24" s="230" t="s">
        <v>7</v>
      </c>
      <c r="C24" s="226" t="s">
        <v>42</v>
      </c>
      <c r="E24" s="227"/>
      <c r="F24" s="227"/>
      <c r="G24" s="227"/>
      <c r="H24" s="243">
        <v>6</v>
      </c>
      <c r="K24" s="230" t="s">
        <v>7</v>
      </c>
      <c r="L24" s="226" t="s">
        <v>241</v>
      </c>
      <c r="N24" s="227"/>
      <c r="O24" s="227"/>
      <c r="P24" s="227"/>
      <c r="Q24" s="238">
        <v>1.46</v>
      </c>
    </row>
    <row r="25" spans="2:20" x14ac:dyDescent="0.25">
      <c r="B25" s="245" t="s">
        <v>7</v>
      </c>
      <c r="C25" s="246" t="s">
        <v>43</v>
      </c>
      <c r="D25" s="233"/>
      <c r="E25" s="233"/>
      <c r="F25" s="233"/>
      <c r="G25" s="233"/>
      <c r="H25" s="247">
        <v>10</v>
      </c>
      <c r="K25" s="230" t="s">
        <v>7</v>
      </c>
      <c r="L25" s="137" t="s">
        <v>242</v>
      </c>
      <c r="Q25" s="257">
        <v>5.5E-2</v>
      </c>
    </row>
    <row r="26" spans="2:20" x14ac:dyDescent="0.25">
      <c r="B26" s="154"/>
      <c r="H26" s="154"/>
      <c r="K26" s="230" t="s">
        <v>7</v>
      </c>
      <c r="L26" s="137" t="s">
        <v>243</v>
      </c>
      <c r="Q26" s="257">
        <v>0.03</v>
      </c>
    </row>
    <row r="27" spans="2:20" x14ac:dyDescent="0.25">
      <c r="B27" s="227"/>
      <c r="C27" s="227"/>
      <c r="D27" s="227"/>
      <c r="E27" s="227"/>
      <c r="F27" s="227"/>
      <c r="G27" s="227"/>
      <c r="H27" s="227"/>
      <c r="K27" s="230" t="s">
        <v>7</v>
      </c>
      <c r="L27" s="137" t="s">
        <v>244</v>
      </c>
      <c r="Q27" s="386">
        <v>30</v>
      </c>
    </row>
    <row r="28" spans="2:20" x14ac:dyDescent="0.25">
      <c r="B28" s="228" t="s">
        <v>192</v>
      </c>
      <c r="C28" s="229"/>
      <c r="D28" s="229"/>
      <c r="E28" s="229"/>
      <c r="F28" s="229"/>
      <c r="G28" s="229"/>
      <c r="H28" s="234"/>
      <c r="K28" s="230" t="s">
        <v>7</v>
      </c>
      <c r="L28" s="137" t="s">
        <v>245</v>
      </c>
      <c r="Q28" s="385">
        <v>385.4</v>
      </c>
    </row>
    <row r="29" spans="2:20" x14ac:dyDescent="0.25">
      <c r="B29" s="230" t="s">
        <v>7</v>
      </c>
      <c r="C29" s="226" t="s">
        <v>193</v>
      </c>
      <c r="E29" s="227"/>
      <c r="F29" s="227"/>
      <c r="G29" s="227"/>
      <c r="H29" s="257">
        <v>0.3</v>
      </c>
      <c r="K29" s="245" t="s">
        <v>7</v>
      </c>
      <c r="L29" s="233" t="s">
        <v>246</v>
      </c>
      <c r="M29" s="233"/>
      <c r="N29" s="233"/>
      <c r="O29" s="233"/>
      <c r="P29" s="233"/>
      <c r="Q29" s="523">
        <v>1179.5999999999999</v>
      </c>
      <c r="R29" s="443"/>
    </row>
    <row r="30" spans="2:20" x14ac:dyDescent="0.25">
      <c r="B30" s="230" t="s">
        <v>7</v>
      </c>
      <c r="C30" s="226" t="s">
        <v>229</v>
      </c>
      <c r="E30" s="227"/>
      <c r="F30" s="227"/>
      <c r="G30" s="227"/>
      <c r="H30" s="257">
        <v>0.25</v>
      </c>
    </row>
    <row r="31" spans="2:20" x14ac:dyDescent="0.25">
      <c r="B31" s="248"/>
      <c r="C31" s="249"/>
      <c r="D31" s="154"/>
      <c r="E31" s="154"/>
      <c r="F31" s="154"/>
      <c r="G31" s="154"/>
      <c r="H31" s="154"/>
    </row>
    <row r="33" spans="2:17" x14ac:dyDescent="0.25">
      <c r="B33" s="228" t="s">
        <v>200</v>
      </c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>
        <f>H11</f>
        <v>2025</v>
      </c>
      <c r="N33" s="228">
        <f>M33+1</f>
        <v>2026</v>
      </c>
      <c r="O33" s="228">
        <f t="shared" ref="O33:Q33" si="0">N33+1</f>
        <v>2027</v>
      </c>
      <c r="P33" s="228">
        <f t="shared" si="0"/>
        <v>2028</v>
      </c>
      <c r="Q33" s="228">
        <f t="shared" si="0"/>
        <v>2029</v>
      </c>
    </row>
    <row r="34" spans="2:17" x14ac:dyDescent="0.25">
      <c r="B34" s="231"/>
      <c r="Q34" s="235"/>
    </row>
    <row r="35" spans="2:17" x14ac:dyDescent="0.25">
      <c r="B35" s="258" t="s">
        <v>202</v>
      </c>
      <c r="Q35" s="235"/>
    </row>
    <row r="36" spans="2:17" x14ac:dyDescent="0.25">
      <c r="B36" s="231"/>
      <c r="C36" s="137" t="s">
        <v>15</v>
      </c>
      <c r="G36" s="3" t="s">
        <v>203</v>
      </c>
      <c r="M36" s="239">
        <v>60</v>
      </c>
      <c r="N36" s="239">
        <v>60</v>
      </c>
      <c r="O36" s="239">
        <v>59</v>
      </c>
      <c r="P36" s="239">
        <v>59</v>
      </c>
      <c r="Q36" s="238">
        <v>58</v>
      </c>
    </row>
    <row r="37" spans="2:17" x14ac:dyDescent="0.25">
      <c r="B37" s="231"/>
      <c r="C37" s="137" t="s">
        <v>52</v>
      </c>
      <c r="G37" s="3" t="s">
        <v>203</v>
      </c>
      <c r="M37" s="239">
        <v>280</v>
      </c>
      <c r="N37" s="239">
        <v>275</v>
      </c>
      <c r="O37" s="239">
        <v>270</v>
      </c>
      <c r="P37" s="239">
        <v>265</v>
      </c>
      <c r="Q37" s="238">
        <v>260</v>
      </c>
    </row>
    <row r="38" spans="2:17" x14ac:dyDescent="0.25">
      <c r="B38" s="231"/>
      <c r="C38" s="137" t="s">
        <v>114</v>
      </c>
      <c r="G38" s="3" t="s">
        <v>203</v>
      </c>
      <c r="M38" s="239">
        <v>4</v>
      </c>
      <c r="N38" s="239">
        <v>4</v>
      </c>
      <c r="O38" s="239">
        <v>4</v>
      </c>
      <c r="P38" s="239">
        <v>4</v>
      </c>
      <c r="Q38" s="238">
        <v>4</v>
      </c>
    </row>
    <row r="39" spans="2:17" x14ac:dyDescent="0.25">
      <c r="B39" s="231"/>
      <c r="C39" s="137" t="s">
        <v>166</v>
      </c>
      <c r="G39" s="3" t="s">
        <v>203</v>
      </c>
      <c r="M39" s="239">
        <v>18</v>
      </c>
      <c r="N39" s="239">
        <v>18</v>
      </c>
      <c r="O39" s="239">
        <v>18</v>
      </c>
      <c r="P39" s="239">
        <v>18</v>
      </c>
      <c r="Q39" s="238">
        <v>18</v>
      </c>
    </row>
    <row r="40" spans="2:17" x14ac:dyDescent="0.25">
      <c r="B40" s="231"/>
      <c r="C40" s="137" t="s">
        <v>16</v>
      </c>
      <c r="G40" s="3" t="s">
        <v>203</v>
      </c>
      <c r="M40" s="239">
        <v>90</v>
      </c>
      <c r="N40" s="239">
        <v>90</v>
      </c>
      <c r="O40" s="239">
        <v>92</v>
      </c>
      <c r="P40" s="239">
        <v>92</v>
      </c>
      <c r="Q40" s="238">
        <v>95</v>
      </c>
    </row>
    <row r="41" spans="2:17" x14ac:dyDescent="0.25">
      <c r="B41" s="231"/>
      <c r="C41" s="137" t="s">
        <v>128</v>
      </c>
      <c r="G41" s="3" t="s">
        <v>203</v>
      </c>
      <c r="M41" s="239">
        <v>65</v>
      </c>
      <c r="N41" s="239">
        <v>65</v>
      </c>
      <c r="O41" s="239">
        <v>65</v>
      </c>
      <c r="P41" s="239">
        <v>65</v>
      </c>
      <c r="Q41" s="238">
        <v>65</v>
      </c>
    </row>
    <row r="42" spans="2:17" x14ac:dyDescent="0.25">
      <c r="B42" s="231"/>
      <c r="C42" s="137" t="s">
        <v>129</v>
      </c>
      <c r="G42" s="3" t="s">
        <v>203</v>
      </c>
      <c r="M42" s="239">
        <v>170</v>
      </c>
      <c r="N42" s="239">
        <v>170</v>
      </c>
      <c r="O42" s="239">
        <v>165</v>
      </c>
      <c r="P42" s="239">
        <v>165</v>
      </c>
      <c r="Q42" s="238">
        <v>160</v>
      </c>
    </row>
    <row r="43" spans="2:17" x14ac:dyDescent="0.25">
      <c r="B43" s="231"/>
      <c r="Q43" s="235"/>
    </row>
    <row r="44" spans="2:17" x14ac:dyDescent="0.25">
      <c r="B44" s="259" t="s">
        <v>204</v>
      </c>
      <c r="Q44" s="235"/>
    </row>
    <row r="45" spans="2:17" x14ac:dyDescent="0.25">
      <c r="B45" s="231"/>
      <c r="C45" s="137" t="s">
        <v>205</v>
      </c>
      <c r="G45" s="3" t="s">
        <v>206</v>
      </c>
      <c r="M45" s="256">
        <v>-500</v>
      </c>
      <c r="N45" s="256">
        <v>-500</v>
      </c>
      <c r="O45" s="256">
        <v>-500</v>
      </c>
      <c r="P45" s="256">
        <v>-500</v>
      </c>
      <c r="Q45" s="260">
        <v>-500</v>
      </c>
    </row>
    <row r="46" spans="2:17" x14ac:dyDescent="0.25">
      <c r="B46" s="231"/>
      <c r="C46" s="227" t="s">
        <v>67</v>
      </c>
      <c r="D46" s="227"/>
      <c r="E46" s="227"/>
      <c r="F46" s="227"/>
      <c r="G46" s="264" t="s">
        <v>206</v>
      </c>
      <c r="H46" s="227"/>
      <c r="I46" s="227"/>
      <c r="J46" s="227"/>
      <c r="K46" s="227"/>
      <c r="L46" s="227"/>
      <c r="M46" s="256">
        <v>-3500</v>
      </c>
      <c r="N46" s="256">
        <v>-4000</v>
      </c>
      <c r="O46" s="256">
        <v>-4500</v>
      </c>
      <c r="P46" s="256">
        <v>-5000</v>
      </c>
      <c r="Q46" s="260">
        <v>-5000</v>
      </c>
    </row>
    <row r="47" spans="2:17" x14ac:dyDescent="0.25">
      <c r="B47" s="231"/>
      <c r="C47" s="227"/>
      <c r="D47" s="227"/>
      <c r="E47" s="227"/>
      <c r="F47" s="227"/>
      <c r="G47" s="264"/>
      <c r="H47" s="227"/>
      <c r="I47" s="227"/>
      <c r="J47" s="227"/>
      <c r="K47" s="227"/>
      <c r="L47" s="227"/>
      <c r="M47" s="265"/>
      <c r="N47" s="265"/>
      <c r="O47" s="265"/>
      <c r="P47" s="265"/>
      <c r="Q47" s="266"/>
    </row>
    <row r="48" spans="2:17" x14ac:dyDescent="0.25">
      <c r="B48" s="259" t="s">
        <v>207</v>
      </c>
      <c r="C48" s="227"/>
      <c r="D48" s="227"/>
      <c r="E48" s="227"/>
      <c r="F48" s="227"/>
      <c r="G48" s="264" t="s">
        <v>149</v>
      </c>
      <c r="H48" s="227"/>
      <c r="I48" s="227"/>
      <c r="J48" s="227"/>
      <c r="K48" s="227"/>
      <c r="L48" s="227"/>
      <c r="M48" s="255">
        <v>0.14000000000000001</v>
      </c>
      <c r="N48" s="255">
        <v>0.12</v>
      </c>
      <c r="O48" s="255">
        <v>0.11</v>
      </c>
      <c r="P48" s="255">
        <v>0.09</v>
      </c>
      <c r="Q48" s="257">
        <v>0.09</v>
      </c>
    </row>
    <row r="49" spans="2:17" x14ac:dyDescent="0.25">
      <c r="B49" s="259"/>
      <c r="C49" s="227"/>
      <c r="D49" s="227"/>
      <c r="E49" s="227"/>
      <c r="F49" s="227"/>
      <c r="G49" s="264"/>
      <c r="H49" s="227"/>
      <c r="I49" s="227"/>
      <c r="J49" s="227"/>
      <c r="K49" s="227"/>
      <c r="L49" s="227"/>
      <c r="M49" s="267"/>
      <c r="N49" s="267"/>
      <c r="O49" s="267"/>
      <c r="P49" s="267"/>
      <c r="Q49" s="320"/>
    </row>
    <row r="50" spans="2:17" x14ac:dyDescent="0.25">
      <c r="B50" s="259" t="s">
        <v>209</v>
      </c>
      <c r="C50" s="227"/>
      <c r="D50" s="227"/>
      <c r="E50" s="227"/>
      <c r="F50" s="227"/>
      <c r="G50" s="264" t="s">
        <v>214</v>
      </c>
      <c r="H50" s="227"/>
      <c r="I50" s="227"/>
      <c r="J50" s="227"/>
      <c r="K50" s="227"/>
      <c r="L50" s="227"/>
      <c r="M50" s="255">
        <v>0.30499999999999999</v>
      </c>
      <c r="N50" s="255">
        <v>0.31</v>
      </c>
      <c r="O50" s="255">
        <v>0.315</v>
      </c>
      <c r="P50" s="255">
        <v>0.32</v>
      </c>
      <c r="Q50" s="257">
        <v>0.32500000000000001</v>
      </c>
    </row>
    <row r="51" spans="2:17" x14ac:dyDescent="0.25">
      <c r="B51" s="231"/>
      <c r="Q51" s="235"/>
    </row>
    <row r="52" spans="2:17" x14ac:dyDescent="0.25">
      <c r="B52" s="259" t="s">
        <v>215</v>
      </c>
      <c r="G52" s="264" t="s">
        <v>214</v>
      </c>
      <c r="M52" s="255">
        <v>0.49</v>
      </c>
      <c r="N52" s="255">
        <v>0.49</v>
      </c>
      <c r="O52" s="255">
        <v>0.49</v>
      </c>
      <c r="P52" s="255">
        <v>0.49</v>
      </c>
      <c r="Q52" s="257">
        <v>0.49</v>
      </c>
    </row>
    <row r="53" spans="2:17" x14ac:dyDescent="0.25">
      <c r="B53" s="231"/>
      <c r="Q53" s="235"/>
    </row>
    <row r="54" spans="2:17" x14ac:dyDescent="0.25">
      <c r="B54" s="259" t="s">
        <v>216</v>
      </c>
      <c r="G54" s="264" t="s">
        <v>213</v>
      </c>
      <c r="M54" s="255">
        <v>0.55000000000000004</v>
      </c>
      <c r="N54" s="255">
        <v>0.55000000000000004</v>
      </c>
      <c r="O54" s="255">
        <v>0.55000000000000004</v>
      </c>
      <c r="P54" s="255">
        <v>0.55000000000000004</v>
      </c>
      <c r="Q54" s="257">
        <v>0.55000000000000004</v>
      </c>
    </row>
    <row r="55" spans="2:17" x14ac:dyDescent="0.25">
      <c r="B55" s="231"/>
      <c r="Q55" s="235"/>
    </row>
    <row r="56" spans="2:17" x14ac:dyDescent="0.25">
      <c r="B56" s="259" t="s">
        <v>212</v>
      </c>
      <c r="G56" s="3" t="s">
        <v>201</v>
      </c>
      <c r="M56" s="255">
        <v>0.06</v>
      </c>
      <c r="N56" s="255">
        <v>0.06</v>
      </c>
      <c r="O56" s="255">
        <v>0.06</v>
      </c>
      <c r="P56" s="255">
        <v>0.06</v>
      </c>
      <c r="Q56" s="257">
        <v>0.06</v>
      </c>
    </row>
    <row r="57" spans="2:17" x14ac:dyDescent="0.25">
      <c r="B57" s="231"/>
      <c r="Q57" s="235"/>
    </row>
    <row r="58" spans="2:17" x14ac:dyDescent="0.25">
      <c r="B58" s="259" t="s">
        <v>218</v>
      </c>
      <c r="G58" s="3" t="s">
        <v>219</v>
      </c>
      <c r="M58" s="255">
        <v>0.02</v>
      </c>
      <c r="N58" s="255">
        <v>0.02</v>
      </c>
      <c r="O58" s="255">
        <v>0.02</v>
      </c>
      <c r="P58" s="255">
        <v>0.02</v>
      </c>
      <c r="Q58" s="257">
        <v>0.02</v>
      </c>
    </row>
    <row r="59" spans="2:17" x14ac:dyDescent="0.25">
      <c r="B59" s="231"/>
      <c r="Q59" s="235"/>
    </row>
    <row r="60" spans="2:17" x14ac:dyDescent="0.25">
      <c r="B60" s="259" t="s">
        <v>221</v>
      </c>
      <c r="G60" s="264" t="s">
        <v>149</v>
      </c>
      <c r="M60" s="255">
        <v>2.5000000000000001E-2</v>
      </c>
      <c r="N60" s="255">
        <v>2.5000000000000001E-2</v>
      </c>
      <c r="O60" s="255">
        <v>2.5000000000000001E-2</v>
      </c>
      <c r="P60" s="255">
        <v>2.5000000000000001E-2</v>
      </c>
      <c r="Q60" s="257">
        <v>2.5000000000000001E-2</v>
      </c>
    </row>
    <row r="61" spans="2:17" x14ac:dyDescent="0.25">
      <c r="B61" s="231"/>
      <c r="Q61" s="235"/>
    </row>
    <row r="62" spans="2:17" x14ac:dyDescent="0.25">
      <c r="B62" s="259" t="s">
        <v>228</v>
      </c>
      <c r="G62" s="3" t="s">
        <v>201</v>
      </c>
      <c r="M62" s="255">
        <v>5.0000000000000001E-3</v>
      </c>
      <c r="N62" s="255">
        <v>5.0000000000000001E-3</v>
      </c>
      <c r="O62" s="255">
        <v>5.0000000000000001E-3</v>
      </c>
      <c r="P62" s="255">
        <v>5.0000000000000001E-3</v>
      </c>
      <c r="Q62" s="257">
        <v>5.0000000000000001E-3</v>
      </c>
    </row>
    <row r="63" spans="2:17" x14ac:dyDescent="0.25">
      <c r="B63" s="231"/>
      <c r="Q63" s="235"/>
    </row>
    <row r="64" spans="2:17" x14ac:dyDescent="0.25">
      <c r="B64" s="259" t="s">
        <v>137</v>
      </c>
      <c r="G64" s="3" t="s">
        <v>201</v>
      </c>
      <c r="M64" s="255">
        <v>0.01</v>
      </c>
      <c r="N64" s="255">
        <v>0.01</v>
      </c>
      <c r="O64" s="255">
        <v>0.01</v>
      </c>
      <c r="P64" s="255">
        <v>0.01</v>
      </c>
      <c r="Q64" s="257">
        <v>0.01</v>
      </c>
    </row>
    <row r="65" spans="2:17" x14ac:dyDescent="0.25">
      <c r="B65" s="231"/>
      <c r="Q65" s="235"/>
    </row>
    <row r="66" spans="2:17" x14ac:dyDescent="0.25">
      <c r="B66" s="259" t="s">
        <v>110</v>
      </c>
      <c r="G66" s="3" t="s">
        <v>201</v>
      </c>
      <c r="M66" s="255">
        <v>0.04</v>
      </c>
      <c r="N66" s="255">
        <v>0.04</v>
      </c>
      <c r="O66" s="255">
        <v>0.04</v>
      </c>
      <c r="P66" s="255">
        <v>0.04</v>
      </c>
      <c r="Q66" s="257">
        <v>0.04</v>
      </c>
    </row>
    <row r="67" spans="2:17" x14ac:dyDescent="0.25">
      <c r="B67" s="231"/>
      <c r="Q67" s="235"/>
    </row>
    <row r="68" spans="2:17" x14ac:dyDescent="0.25">
      <c r="B68" s="259" t="s">
        <v>139</v>
      </c>
      <c r="M68" s="239">
        <v>0</v>
      </c>
      <c r="N68" s="239">
        <v>0</v>
      </c>
      <c r="O68" s="239">
        <v>0</v>
      </c>
      <c r="P68" s="239">
        <v>0</v>
      </c>
      <c r="Q68" s="238">
        <v>0</v>
      </c>
    </row>
    <row r="69" spans="2:17" x14ac:dyDescent="0.25">
      <c r="B69" s="231"/>
      <c r="Q69" s="235"/>
    </row>
    <row r="70" spans="2:17" x14ac:dyDescent="0.25">
      <c r="B70" s="259" t="s">
        <v>234</v>
      </c>
      <c r="G70" s="3" t="s">
        <v>201</v>
      </c>
      <c r="M70" s="255">
        <v>0.17</v>
      </c>
      <c r="N70" s="255">
        <v>0.17</v>
      </c>
      <c r="O70" s="255">
        <v>0.17</v>
      </c>
      <c r="P70" s="255">
        <v>0.17</v>
      </c>
      <c r="Q70" s="257">
        <v>0.17</v>
      </c>
    </row>
    <row r="71" spans="2:17" x14ac:dyDescent="0.25">
      <c r="B71" s="231"/>
      <c r="Q71" s="235"/>
    </row>
    <row r="72" spans="2:17" x14ac:dyDescent="0.25">
      <c r="B72" s="259" t="s">
        <v>235</v>
      </c>
      <c r="G72" s="3" t="s">
        <v>236</v>
      </c>
      <c r="M72" s="255">
        <v>0.4</v>
      </c>
      <c r="N72" s="255">
        <v>0.4</v>
      </c>
      <c r="O72" s="255">
        <v>0.4</v>
      </c>
      <c r="P72" s="255">
        <v>0.4</v>
      </c>
      <c r="Q72" s="257">
        <v>0.4</v>
      </c>
    </row>
    <row r="73" spans="2:17" x14ac:dyDescent="0.25">
      <c r="B73" s="231"/>
      <c r="Q73" s="235"/>
    </row>
    <row r="74" spans="2:17" x14ac:dyDescent="0.25">
      <c r="B74" s="375" t="s">
        <v>237</v>
      </c>
      <c r="C74" s="233"/>
      <c r="D74" s="233"/>
      <c r="E74" s="233"/>
      <c r="F74" s="233"/>
      <c r="G74" s="376" t="s">
        <v>149</v>
      </c>
      <c r="H74" s="233"/>
      <c r="I74" s="233"/>
      <c r="J74" s="233"/>
      <c r="K74" s="233"/>
      <c r="L74" s="233"/>
      <c r="M74" s="377">
        <v>0.03</v>
      </c>
      <c r="N74" s="377">
        <v>0.03</v>
      </c>
      <c r="O74" s="377">
        <v>0.03</v>
      </c>
      <c r="P74" s="377">
        <v>0.03</v>
      </c>
      <c r="Q74" s="378">
        <v>0.03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E3C57-2541-432E-9846-152E9D05FEE8}">
  <dimension ref="A2:L99"/>
  <sheetViews>
    <sheetView showGridLines="0" tabSelected="1" topLeftCell="A54" zoomScale="90" workbookViewId="0">
      <selection activeCell="M70" sqref="M70"/>
    </sheetView>
  </sheetViews>
  <sheetFormatPr defaultRowHeight="14.4" x14ac:dyDescent="0.3"/>
  <cols>
    <col min="3" max="3" width="11" bestFit="1" customWidth="1"/>
  </cols>
  <sheetData>
    <row r="2" spans="1:12" ht="22.8" x14ac:dyDescent="0.4">
      <c r="A2" s="164"/>
      <c r="B2" s="165" t="str">
        <f>Assumptions!C2</f>
        <v>ASML</v>
      </c>
      <c r="C2" s="166"/>
      <c r="D2" s="166"/>
      <c r="E2" s="166"/>
      <c r="F2" s="166"/>
      <c r="G2" s="166"/>
      <c r="H2" s="166"/>
      <c r="I2" s="166"/>
      <c r="J2" s="166"/>
      <c r="K2" s="166"/>
    </row>
    <row r="3" spans="1:12" ht="17.399999999999999" x14ac:dyDescent="0.3">
      <c r="A3" s="167"/>
      <c r="B3" s="168" t="s">
        <v>172</v>
      </c>
      <c r="C3" s="168"/>
      <c r="D3" s="168"/>
      <c r="E3" s="168"/>
      <c r="F3" s="168"/>
      <c r="G3" s="168"/>
      <c r="H3" s="168"/>
      <c r="I3" s="168"/>
      <c r="J3" s="168"/>
      <c r="K3" s="168"/>
    </row>
    <row r="4" spans="1:12" ht="15" thickBot="1" x14ac:dyDescent="0.35">
      <c r="A4" s="167"/>
      <c r="B4" s="169"/>
      <c r="C4" s="169"/>
      <c r="D4" s="170"/>
      <c r="E4" s="170"/>
      <c r="F4" s="169"/>
      <c r="G4" s="169"/>
      <c r="H4" s="169"/>
      <c r="I4" s="169"/>
      <c r="J4" s="169"/>
      <c r="K4" s="169"/>
    </row>
    <row r="5" spans="1:12" x14ac:dyDescent="0.3">
      <c r="A5" s="167"/>
      <c r="B5" s="167"/>
      <c r="C5" s="171"/>
      <c r="D5" s="172"/>
      <c r="E5" s="172"/>
      <c r="F5" s="171"/>
      <c r="G5" s="167"/>
      <c r="H5" s="167"/>
      <c r="I5" s="167"/>
      <c r="J5" s="167"/>
      <c r="K5" s="167"/>
    </row>
    <row r="6" spans="1:12" x14ac:dyDescent="0.3">
      <c r="A6" s="167"/>
      <c r="B6" s="173"/>
      <c r="C6" s="174"/>
      <c r="D6" s="175"/>
      <c r="E6" s="176"/>
      <c r="F6" s="167"/>
      <c r="G6" s="177"/>
      <c r="H6" s="177"/>
      <c r="I6" s="177"/>
      <c r="J6" s="177"/>
      <c r="K6" s="177"/>
    </row>
    <row r="7" spans="1:12" x14ac:dyDescent="0.3">
      <c r="A7" s="167"/>
      <c r="B7" s="178" t="s">
        <v>171</v>
      </c>
      <c r="C7" s="179"/>
      <c r="D7" s="180">
        <v>1</v>
      </c>
      <c r="E7" s="181"/>
      <c r="F7" s="179"/>
      <c r="G7" s="182">
        <f>Assumptions!H11</f>
        <v>2025</v>
      </c>
      <c r="H7" s="182">
        <f>G7+1</f>
        <v>2026</v>
      </c>
      <c r="I7" s="182">
        <f>H7+1</f>
        <v>2027</v>
      </c>
      <c r="J7" s="182">
        <f>I7+1</f>
        <v>2028</v>
      </c>
      <c r="K7" s="182">
        <f>J7+1</f>
        <v>2029</v>
      </c>
    </row>
    <row r="8" spans="1:12" x14ac:dyDescent="0.3">
      <c r="A8" s="167"/>
      <c r="B8" s="183"/>
      <c r="C8" s="184"/>
      <c r="D8" s="185"/>
      <c r="E8" s="186"/>
      <c r="F8" s="179"/>
      <c r="G8" s="187"/>
      <c r="H8" s="187"/>
      <c r="I8" s="188"/>
      <c r="J8" s="188"/>
      <c r="K8" s="187"/>
    </row>
    <row r="9" spans="1:12" x14ac:dyDescent="0.3">
      <c r="A9" s="167"/>
      <c r="B9" s="179"/>
      <c r="C9" s="179"/>
      <c r="D9" s="189"/>
      <c r="E9" s="189"/>
      <c r="F9" s="179"/>
      <c r="G9" s="187"/>
      <c r="H9" s="187"/>
      <c r="I9" s="188"/>
      <c r="J9" s="188"/>
      <c r="K9" s="187"/>
    </row>
    <row r="10" spans="1:12" x14ac:dyDescent="0.3">
      <c r="A10" s="167"/>
      <c r="B10" s="179"/>
      <c r="C10" s="179"/>
      <c r="D10" s="189"/>
      <c r="E10" s="189"/>
      <c r="F10" s="179"/>
      <c r="G10" s="187"/>
      <c r="H10" s="187"/>
      <c r="I10" s="188"/>
      <c r="J10" s="188"/>
      <c r="K10" s="187"/>
    </row>
    <row r="11" spans="1:12" x14ac:dyDescent="0.3">
      <c r="A11" s="167"/>
      <c r="B11" s="167"/>
      <c r="C11" s="167"/>
      <c r="D11" s="190"/>
      <c r="E11" s="190"/>
      <c r="F11" s="167"/>
      <c r="G11" s="167"/>
      <c r="H11" s="167"/>
      <c r="I11" s="167"/>
      <c r="J11" s="167"/>
      <c r="K11" s="167"/>
    </row>
    <row r="12" spans="1:12" x14ac:dyDescent="0.3">
      <c r="A12" s="167"/>
      <c r="B12" s="191" t="s">
        <v>169</v>
      </c>
      <c r="C12" s="167"/>
      <c r="D12" s="192"/>
      <c r="E12" s="192"/>
      <c r="F12" s="167"/>
      <c r="G12" s="207">
        <f>CHOOSE($D$7,G14,G15,G16)</f>
        <v>55</v>
      </c>
      <c r="H12" s="207">
        <f t="shared" ref="H12:K12" si="0">CHOOSE($D$7,H14,H15,H16)</f>
        <v>65</v>
      </c>
      <c r="I12" s="207">
        <f t="shared" si="0"/>
        <v>75</v>
      </c>
      <c r="J12" s="207">
        <f t="shared" si="0"/>
        <v>80</v>
      </c>
      <c r="K12" s="212">
        <f t="shared" si="0"/>
        <v>85</v>
      </c>
      <c r="L12" s="163"/>
    </row>
    <row r="13" spans="1:12" x14ac:dyDescent="0.3">
      <c r="A13" s="167"/>
      <c r="B13" s="193"/>
      <c r="C13" s="167"/>
      <c r="D13" s="192"/>
      <c r="E13" s="192"/>
      <c r="F13" s="167"/>
      <c r="G13" s="208"/>
      <c r="H13" s="209"/>
      <c r="I13" s="209"/>
      <c r="J13" s="209"/>
      <c r="K13" s="209"/>
    </row>
    <row r="14" spans="1:12" x14ac:dyDescent="0.3">
      <c r="A14" s="167"/>
      <c r="B14" s="193"/>
      <c r="C14" s="167" t="str">
        <f>Assumptions!C17</f>
        <v>Base Case</v>
      </c>
      <c r="D14" s="192"/>
      <c r="E14" s="192"/>
      <c r="F14" s="167"/>
      <c r="G14" s="526">
        <v>55</v>
      </c>
      <c r="H14" s="525">
        <v>65</v>
      </c>
      <c r="I14" s="525">
        <v>75</v>
      </c>
      <c r="J14" s="525">
        <v>80</v>
      </c>
      <c r="K14" s="530">
        <v>85</v>
      </c>
    </row>
    <row r="15" spans="1:12" x14ac:dyDescent="0.3">
      <c r="A15" s="167"/>
      <c r="B15" s="193"/>
      <c r="C15" s="167" t="str">
        <f>Assumptions!C18</f>
        <v>Bull Case</v>
      </c>
      <c r="D15" s="192"/>
      <c r="E15" s="192"/>
      <c r="F15" s="167"/>
      <c r="G15" s="527">
        <v>60</v>
      </c>
      <c r="H15" s="524">
        <v>75</v>
      </c>
      <c r="I15" s="524">
        <v>90</v>
      </c>
      <c r="J15" s="524">
        <v>100</v>
      </c>
      <c r="K15" s="531">
        <v>110</v>
      </c>
    </row>
    <row r="16" spans="1:12" x14ac:dyDescent="0.3">
      <c r="A16" s="167"/>
      <c r="B16" s="193"/>
      <c r="C16" s="167" t="str">
        <f>Assumptions!C19</f>
        <v>Bear Case</v>
      </c>
      <c r="D16" s="192"/>
      <c r="E16" s="192"/>
      <c r="F16" s="167"/>
      <c r="G16" s="528">
        <v>50</v>
      </c>
      <c r="H16" s="529">
        <v>55</v>
      </c>
      <c r="I16" s="529">
        <v>60</v>
      </c>
      <c r="J16" s="529">
        <v>65</v>
      </c>
      <c r="K16" s="532">
        <v>70</v>
      </c>
    </row>
    <row r="17" spans="1:11" x14ac:dyDescent="0.3">
      <c r="A17" s="167"/>
      <c r="B17" s="167"/>
      <c r="C17" s="194"/>
      <c r="D17" s="195"/>
      <c r="E17" s="195"/>
      <c r="F17" s="167"/>
      <c r="G17" s="196"/>
      <c r="H17" s="196"/>
      <c r="I17" s="196"/>
      <c r="J17" s="196"/>
      <c r="K17" s="197"/>
    </row>
    <row r="18" spans="1:11" x14ac:dyDescent="0.3">
      <c r="A18" s="167"/>
      <c r="B18" s="198"/>
      <c r="C18" s="198"/>
      <c r="D18" s="199"/>
      <c r="E18" s="199"/>
      <c r="F18" s="198"/>
      <c r="G18" s="198"/>
      <c r="H18" s="198"/>
      <c r="I18" s="198"/>
      <c r="J18" s="198"/>
      <c r="K18" s="198"/>
    </row>
    <row r="19" spans="1:11" x14ac:dyDescent="0.3">
      <c r="A19" s="167"/>
      <c r="B19" s="167"/>
      <c r="C19" s="167"/>
      <c r="D19" s="190"/>
      <c r="E19" s="190"/>
      <c r="F19" s="167"/>
      <c r="G19" s="167"/>
      <c r="H19" s="167"/>
      <c r="I19" s="167"/>
      <c r="J19" s="167"/>
      <c r="K19" s="167"/>
    </row>
    <row r="20" spans="1:11" x14ac:dyDescent="0.3">
      <c r="A20" s="167"/>
      <c r="B20" s="167"/>
      <c r="C20" s="167"/>
      <c r="D20" s="190"/>
      <c r="E20" s="190"/>
      <c r="F20" s="167"/>
      <c r="G20" s="167"/>
      <c r="H20" s="167"/>
      <c r="I20" s="167"/>
      <c r="J20" s="167"/>
      <c r="K20" s="167"/>
    </row>
    <row r="21" spans="1:11" x14ac:dyDescent="0.3">
      <c r="A21" s="200"/>
      <c r="B21" s="191" t="s">
        <v>176</v>
      </c>
      <c r="C21" s="200"/>
      <c r="D21" s="201"/>
      <c r="E21" s="201"/>
      <c r="F21" s="200"/>
      <c r="G21" s="207">
        <f>CHOOSE($D$7,G23,G24,G25)</f>
        <v>195</v>
      </c>
      <c r="H21" s="207">
        <f t="shared" ref="H21:K21" si="1">CHOOSE($D$7,H23,H24,H25)</f>
        <v>205</v>
      </c>
      <c r="I21" s="207">
        <f t="shared" si="1"/>
        <v>215</v>
      </c>
      <c r="J21" s="207">
        <f t="shared" si="1"/>
        <v>230</v>
      </c>
      <c r="K21" s="212">
        <f t="shared" si="1"/>
        <v>240</v>
      </c>
    </row>
    <row r="22" spans="1:11" x14ac:dyDescent="0.3">
      <c r="A22" s="167"/>
      <c r="B22" s="202"/>
      <c r="C22" s="167"/>
      <c r="D22" s="192"/>
      <c r="E22" s="192"/>
      <c r="F22" s="167"/>
      <c r="G22" s="203"/>
      <c r="H22" s="203"/>
      <c r="I22" s="203"/>
      <c r="J22" s="203"/>
      <c r="K22" s="203"/>
    </row>
    <row r="23" spans="1:11" x14ac:dyDescent="0.3">
      <c r="A23" s="167"/>
      <c r="B23" s="167"/>
      <c r="C23" s="194" t="str">
        <f>C14</f>
        <v>Base Case</v>
      </c>
      <c r="D23" s="195"/>
      <c r="E23" s="195"/>
      <c r="F23" s="167"/>
      <c r="G23" s="526">
        <v>195</v>
      </c>
      <c r="H23" s="525">
        <v>205</v>
      </c>
      <c r="I23" s="525">
        <v>215</v>
      </c>
      <c r="J23" s="525">
        <v>230</v>
      </c>
      <c r="K23" s="530">
        <v>240</v>
      </c>
    </row>
    <row r="24" spans="1:11" x14ac:dyDescent="0.3">
      <c r="A24" s="204"/>
      <c r="B24" s="167"/>
      <c r="C24" s="194" t="str">
        <f>C15</f>
        <v>Bull Case</v>
      </c>
      <c r="D24" s="195"/>
      <c r="E24" s="195"/>
      <c r="F24" s="167"/>
      <c r="G24" s="527">
        <v>205</v>
      </c>
      <c r="H24" s="524">
        <v>220</v>
      </c>
      <c r="I24" s="524">
        <v>235</v>
      </c>
      <c r="J24" s="524">
        <v>250</v>
      </c>
      <c r="K24" s="531">
        <v>265</v>
      </c>
    </row>
    <row r="25" spans="1:11" x14ac:dyDescent="0.3">
      <c r="A25" s="204"/>
      <c r="B25" s="167"/>
      <c r="C25" s="194" t="str">
        <f>C16</f>
        <v>Bear Case</v>
      </c>
      <c r="D25" s="195"/>
      <c r="E25" s="195"/>
      <c r="F25" s="167"/>
      <c r="G25" s="528">
        <v>180</v>
      </c>
      <c r="H25" s="529">
        <v>190</v>
      </c>
      <c r="I25" s="529">
        <v>195</v>
      </c>
      <c r="J25" s="529">
        <v>205</v>
      </c>
      <c r="K25" s="532">
        <v>215</v>
      </c>
    </row>
    <row r="26" spans="1:11" x14ac:dyDescent="0.3">
      <c r="A26" s="167"/>
      <c r="B26" s="167"/>
      <c r="C26" s="205"/>
      <c r="D26" s="195"/>
      <c r="E26" s="195"/>
      <c r="F26" s="167"/>
      <c r="G26" s="77"/>
      <c r="H26" s="77"/>
      <c r="I26" s="77"/>
      <c r="J26" s="77"/>
      <c r="K26" s="206"/>
    </row>
    <row r="27" spans="1:11" x14ac:dyDescent="0.3">
      <c r="B27" s="198"/>
      <c r="C27" s="198"/>
      <c r="D27" s="198"/>
      <c r="E27" s="198"/>
      <c r="F27" s="198"/>
      <c r="G27" s="198"/>
      <c r="H27" s="198"/>
      <c r="I27" s="198"/>
      <c r="J27" s="198"/>
      <c r="K27" s="198"/>
    </row>
    <row r="30" spans="1:11" x14ac:dyDescent="0.3">
      <c r="B30" s="191" t="s">
        <v>9</v>
      </c>
      <c r="C30" s="167"/>
      <c r="D30" s="192"/>
      <c r="E30" s="192"/>
      <c r="F30" s="167"/>
      <c r="G30" s="207">
        <f>CHOOSE($D$7,G32,G33,G34)</f>
        <v>3</v>
      </c>
      <c r="H30" s="207">
        <f t="shared" ref="H30:K30" si="2">CHOOSE($D$7,H32,H33,H34)</f>
        <v>6</v>
      </c>
      <c r="I30" s="207">
        <f t="shared" si="2"/>
        <v>10</v>
      </c>
      <c r="J30" s="207">
        <f t="shared" si="2"/>
        <v>14</v>
      </c>
      <c r="K30" s="212">
        <f t="shared" si="2"/>
        <v>18</v>
      </c>
    </row>
    <row r="31" spans="1:11" x14ac:dyDescent="0.3">
      <c r="B31" s="193"/>
      <c r="C31" s="167"/>
      <c r="D31" s="192"/>
      <c r="E31" s="192"/>
      <c r="F31" s="167"/>
      <c r="G31" s="208"/>
      <c r="H31" s="209"/>
      <c r="I31" s="209"/>
      <c r="J31" s="209"/>
      <c r="K31" s="209"/>
    </row>
    <row r="32" spans="1:11" x14ac:dyDescent="0.3">
      <c r="B32" s="193"/>
      <c r="C32" s="194" t="str">
        <f>C23</f>
        <v>Base Case</v>
      </c>
      <c r="D32" s="192"/>
      <c r="E32" s="192"/>
      <c r="F32" s="167"/>
      <c r="G32" s="526">
        <v>3</v>
      </c>
      <c r="H32" s="525">
        <v>6</v>
      </c>
      <c r="I32" s="525">
        <v>10</v>
      </c>
      <c r="J32" s="525">
        <v>14</v>
      </c>
      <c r="K32" s="530">
        <v>18</v>
      </c>
    </row>
    <row r="33" spans="2:11" x14ac:dyDescent="0.3">
      <c r="B33" s="193"/>
      <c r="C33" s="194" t="str">
        <f>C24</f>
        <v>Bull Case</v>
      </c>
      <c r="D33" s="192"/>
      <c r="E33" s="192"/>
      <c r="F33" s="167"/>
      <c r="G33" s="527">
        <v>4</v>
      </c>
      <c r="H33" s="524">
        <v>8</v>
      </c>
      <c r="I33" s="524">
        <v>15</v>
      </c>
      <c r="J33" s="524">
        <v>20</v>
      </c>
      <c r="K33" s="531">
        <v>25</v>
      </c>
    </row>
    <row r="34" spans="2:11" x14ac:dyDescent="0.3">
      <c r="B34" s="193"/>
      <c r="C34" s="194" t="str">
        <f>C25</f>
        <v>Bear Case</v>
      </c>
      <c r="D34" s="192"/>
      <c r="E34" s="192"/>
      <c r="F34" s="167"/>
      <c r="G34" s="528">
        <v>2</v>
      </c>
      <c r="H34" s="529">
        <v>4</v>
      </c>
      <c r="I34" s="529">
        <v>6</v>
      </c>
      <c r="J34" s="529">
        <v>8</v>
      </c>
      <c r="K34" s="532">
        <v>10</v>
      </c>
    </row>
    <row r="35" spans="2:11" x14ac:dyDescent="0.3">
      <c r="B35" s="167"/>
      <c r="C35" s="194"/>
      <c r="D35" s="195"/>
      <c r="E35" s="195"/>
      <c r="F35" s="167"/>
      <c r="G35" s="196"/>
      <c r="H35" s="196"/>
      <c r="I35" s="196"/>
      <c r="J35" s="196"/>
      <c r="K35" s="197"/>
    </row>
    <row r="36" spans="2:11" x14ac:dyDescent="0.3">
      <c r="B36" s="198"/>
      <c r="C36" s="198"/>
      <c r="D36" s="199"/>
      <c r="E36" s="199"/>
      <c r="F36" s="198"/>
      <c r="G36" s="198"/>
      <c r="H36" s="198"/>
      <c r="I36" s="198"/>
      <c r="J36" s="198"/>
      <c r="K36" s="198"/>
    </row>
    <row r="37" spans="2:11" x14ac:dyDescent="0.3">
      <c r="B37" s="210"/>
      <c r="C37" s="210"/>
      <c r="D37" s="211"/>
      <c r="E37" s="211"/>
      <c r="F37" s="210"/>
      <c r="G37" s="210"/>
      <c r="H37" s="210"/>
      <c r="I37" s="210"/>
      <c r="J37" s="210"/>
      <c r="K37" s="210"/>
    </row>
    <row r="39" spans="2:11" x14ac:dyDescent="0.3">
      <c r="B39" s="191" t="s">
        <v>175</v>
      </c>
      <c r="C39" s="167"/>
      <c r="D39" s="192"/>
      <c r="E39" s="192"/>
      <c r="F39" s="167"/>
      <c r="G39" s="207">
        <f>CHOOSE($D$7,G41,G42,G43)</f>
        <v>330</v>
      </c>
      <c r="H39" s="207">
        <f t="shared" ref="H39:K39" si="3">CHOOSE($D$7,H41,H42,H43)</f>
        <v>340</v>
      </c>
      <c r="I39" s="207">
        <f t="shared" si="3"/>
        <v>350</v>
      </c>
      <c r="J39" s="207">
        <f t="shared" si="3"/>
        <v>360</v>
      </c>
      <c r="K39" s="212">
        <f t="shared" si="3"/>
        <v>370</v>
      </c>
    </row>
    <row r="40" spans="2:11" x14ac:dyDescent="0.3">
      <c r="B40" s="193"/>
      <c r="C40" s="167"/>
      <c r="D40" s="192"/>
      <c r="E40" s="192"/>
      <c r="F40" s="167"/>
      <c r="G40" s="208"/>
      <c r="H40" s="209"/>
      <c r="I40" s="209"/>
      <c r="J40" s="209"/>
      <c r="K40" s="209"/>
    </row>
    <row r="41" spans="2:11" x14ac:dyDescent="0.3">
      <c r="B41" s="193"/>
      <c r="C41" s="194" t="str">
        <f>C32</f>
        <v>Base Case</v>
      </c>
      <c r="D41" s="192"/>
      <c r="E41" s="192"/>
      <c r="F41" s="167"/>
      <c r="G41" s="526">
        <v>330</v>
      </c>
      <c r="H41" s="525">
        <v>340</v>
      </c>
      <c r="I41" s="525">
        <v>350</v>
      </c>
      <c r="J41" s="525">
        <v>360</v>
      </c>
      <c r="K41" s="530">
        <v>370</v>
      </c>
    </row>
    <row r="42" spans="2:11" x14ac:dyDescent="0.3">
      <c r="B42" s="193"/>
      <c r="C42" s="194" t="str">
        <f>C33</f>
        <v>Bull Case</v>
      </c>
      <c r="D42" s="192"/>
      <c r="E42" s="192"/>
      <c r="F42" s="167"/>
      <c r="G42" s="527">
        <v>350</v>
      </c>
      <c r="H42" s="524">
        <v>370</v>
      </c>
      <c r="I42" s="524">
        <v>380</v>
      </c>
      <c r="J42" s="524">
        <v>400</v>
      </c>
      <c r="K42" s="531">
        <v>420</v>
      </c>
    </row>
    <row r="43" spans="2:11" x14ac:dyDescent="0.3">
      <c r="B43" s="193"/>
      <c r="C43" s="194" t="str">
        <f>C34</f>
        <v>Bear Case</v>
      </c>
      <c r="D43" s="192"/>
      <c r="E43" s="192"/>
      <c r="F43" s="167"/>
      <c r="G43" s="528">
        <v>320</v>
      </c>
      <c r="H43" s="529">
        <v>330</v>
      </c>
      <c r="I43" s="529">
        <v>340</v>
      </c>
      <c r="J43" s="529">
        <v>350</v>
      </c>
      <c r="K43" s="532">
        <v>360</v>
      </c>
    </row>
    <row r="44" spans="2:11" x14ac:dyDescent="0.3">
      <c r="B44" s="167"/>
      <c r="C44" s="194"/>
      <c r="D44" s="195"/>
      <c r="E44" s="195"/>
      <c r="F44" s="167"/>
      <c r="G44" s="196"/>
      <c r="H44" s="196"/>
      <c r="I44" s="196"/>
      <c r="J44" s="196"/>
      <c r="K44" s="197"/>
    </row>
    <row r="45" spans="2:11" x14ac:dyDescent="0.3">
      <c r="B45" s="198"/>
      <c r="C45" s="198"/>
      <c r="D45" s="199"/>
      <c r="E45" s="199"/>
      <c r="F45" s="198"/>
      <c r="G45" s="198"/>
      <c r="H45" s="198"/>
      <c r="I45" s="198"/>
      <c r="J45" s="198"/>
      <c r="K45" s="198"/>
    </row>
    <row r="46" spans="2:11" x14ac:dyDescent="0.3">
      <c r="B46" s="167"/>
      <c r="C46" s="167"/>
      <c r="D46" s="190"/>
      <c r="E46" s="190"/>
      <c r="F46" s="167"/>
      <c r="G46" s="167"/>
      <c r="H46" s="167"/>
      <c r="I46" s="167"/>
      <c r="J46" s="167"/>
      <c r="K46" s="167"/>
    </row>
    <row r="47" spans="2:11" x14ac:dyDescent="0.3">
      <c r="B47" s="167"/>
      <c r="C47" s="167"/>
      <c r="D47" s="190"/>
      <c r="E47" s="190"/>
      <c r="F47" s="167"/>
      <c r="G47" s="167"/>
      <c r="H47" s="167"/>
      <c r="I47" s="167"/>
      <c r="J47" s="167"/>
      <c r="K47" s="167"/>
    </row>
    <row r="48" spans="2:11" x14ac:dyDescent="0.3">
      <c r="B48" s="191" t="s">
        <v>170</v>
      </c>
      <c r="C48" s="200"/>
      <c r="D48" s="201"/>
      <c r="E48" s="201"/>
      <c r="F48" s="200"/>
      <c r="G48" s="207">
        <f>CHOOSE($D$7,G50,G51,G52)</f>
        <v>320</v>
      </c>
      <c r="H48" s="207">
        <f t="shared" ref="H48:K48" si="4">CHOOSE($D$7,H50,H51,H52)</f>
        <v>340</v>
      </c>
      <c r="I48" s="207">
        <f t="shared" si="4"/>
        <v>360</v>
      </c>
      <c r="J48" s="207">
        <f t="shared" si="4"/>
        <v>370</v>
      </c>
      <c r="K48" s="212">
        <f t="shared" si="4"/>
        <v>380</v>
      </c>
    </row>
    <row r="49" spans="2:11" x14ac:dyDescent="0.3">
      <c r="B49" s="202"/>
      <c r="C49" s="167"/>
      <c r="D49" s="192"/>
      <c r="E49" s="192"/>
      <c r="F49" s="167"/>
      <c r="G49" s="203"/>
      <c r="H49" s="203"/>
      <c r="I49" s="203"/>
      <c r="J49" s="203"/>
      <c r="K49" s="203"/>
    </row>
    <row r="50" spans="2:11" x14ac:dyDescent="0.3">
      <c r="B50" s="167"/>
      <c r="C50" s="194" t="str">
        <f>C41</f>
        <v>Base Case</v>
      </c>
      <c r="D50" s="195"/>
      <c r="E50" s="195"/>
      <c r="F50" s="167"/>
      <c r="G50" s="526">
        <v>320</v>
      </c>
      <c r="H50" s="525">
        <v>340</v>
      </c>
      <c r="I50" s="525">
        <v>360</v>
      </c>
      <c r="J50" s="525">
        <v>370</v>
      </c>
      <c r="K50" s="530">
        <v>380</v>
      </c>
    </row>
    <row r="51" spans="2:11" x14ac:dyDescent="0.3">
      <c r="B51" s="167"/>
      <c r="C51" s="194" t="str">
        <f>C42</f>
        <v>Bull Case</v>
      </c>
      <c r="D51" s="195"/>
      <c r="E51" s="195"/>
      <c r="F51" s="167"/>
      <c r="G51" s="527">
        <v>340</v>
      </c>
      <c r="H51" s="524">
        <v>370</v>
      </c>
      <c r="I51" s="524">
        <v>400</v>
      </c>
      <c r="J51" s="524">
        <v>420</v>
      </c>
      <c r="K51" s="531">
        <v>440</v>
      </c>
    </row>
    <row r="52" spans="2:11" x14ac:dyDescent="0.3">
      <c r="B52" s="167"/>
      <c r="C52" s="194" t="str">
        <f>C43</f>
        <v>Bear Case</v>
      </c>
      <c r="D52" s="195"/>
      <c r="E52" s="195"/>
      <c r="F52" s="167"/>
      <c r="G52" s="528">
        <v>300</v>
      </c>
      <c r="H52" s="529">
        <v>310</v>
      </c>
      <c r="I52" s="529">
        <v>320</v>
      </c>
      <c r="J52" s="529">
        <v>330</v>
      </c>
      <c r="K52" s="532">
        <v>340</v>
      </c>
    </row>
    <row r="53" spans="2:11" x14ac:dyDescent="0.3">
      <c r="B53" s="167"/>
      <c r="C53" s="205"/>
      <c r="D53" s="195"/>
      <c r="E53" s="195"/>
      <c r="F53" s="167"/>
      <c r="G53" s="77"/>
      <c r="H53" s="77"/>
      <c r="I53" s="77"/>
      <c r="J53" s="77"/>
      <c r="K53" s="206"/>
    </row>
    <row r="54" spans="2:11" x14ac:dyDescent="0.3">
      <c r="B54" s="198"/>
      <c r="C54" s="198"/>
      <c r="D54" s="198"/>
      <c r="E54" s="198"/>
      <c r="F54" s="198"/>
      <c r="G54" s="198"/>
      <c r="H54" s="198"/>
      <c r="I54" s="198"/>
      <c r="J54" s="198"/>
      <c r="K54" s="198"/>
    </row>
    <row r="57" spans="2:11" x14ac:dyDescent="0.3">
      <c r="B57" s="191" t="s">
        <v>174</v>
      </c>
      <c r="C57" s="167"/>
      <c r="D57" s="192"/>
      <c r="E57" s="192"/>
      <c r="F57" s="167"/>
      <c r="G57" s="207">
        <f>CHOOSE($D$7,G59,G60,G61)</f>
        <v>40</v>
      </c>
      <c r="H57" s="207">
        <f t="shared" ref="H57:K57" si="5">CHOOSE($D$7,H59,H60,H61)</f>
        <v>41</v>
      </c>
      <c r="I57" s="207">
        <f t="shared" si="5"/>
        <v>42</v>
      </c>
      <c r="J57" s="207">
        <f t="shared" si="5"/>
        <v>43</v>
      </c>
      <c r="K57" s="212">
        <f t="shared" si="5"/>
        <v>44</v>
      </c>
    </row>
    <row r="58" spans="2:11" x14ac:dyDescent="0.3">
      <c r="B58" s="193"/>
      <c r="C58" s="167"/>
      <c r="D58" s="192"/>
      <c r="E58" s="192"/>
      <c r="F58" s="167"/>
      <c r="G58" s="208"/>
      <c r="H58" s="209"/>
      <c r="I58" s="209"/>
      <c r="J58" s="209"/>
      <c r="K58" s="209"/>
    </row>
    <row r="59" spans="2:11" x14ac:dyDescent="0.3">
      <c r="B59" s="193"/>
      <c r="C59" s="194" t="str">
        <f>C50</f>
        <v>Base Case</v>
      </c>
      <c r="D59" s="192"/>
      <c r="E59" s="192"/>
      <c r="F59" s="167"/>
      <c r="G59" s="526">
        <v>40</v>
      </c>
      <c r="H59" s="525">
        <v>41</v>
      </c>
      <c r="I59" s="525">
        <v>42</v>
      </c>
      <c r="J59" s="525">
        <v>43</v>
      </c>
      <c r="K59" s="530">
        <v>44</v>
      </c>
    </row>
    <row r="60" spans="2:11" x14ac:dyDescent="0.3">
      <c r="B60" s="193"/>
      <c r="C60" s="194" t="str">
        <f>C51</f>
        <v>Bull Case</v>
      </c>
      <c r="D60" s="192"/>
      <c r="E60" s="192"/>
      <c r="F60" s="167"/>
      <c r="G60" s="527">
        <v>42</v>
      </c>
      <c r="H60" s="524">
        <v>44</v>
      </c>
      <c r="I60" s="524">
        <v>45</v>
      </c>
      <c r="J60" s="524">
        <v>46</v>
      </c>
      <c r="K60" s="531">
        <v>47</v>
      </c>
    </row>
    <row r="61" spans="2:11" x14ac:dyDescent="0.3">
      <c r="B61" s="193"/>
      <c r="C61" s="194" t="str">
        <f>C52</f>
        <v>Bear Case</v>
      </c>
      <c r="D61" s="192"/>
      <c r="E61" s="192"/>
      <c r="F61" s="167"/>
      <c r="G61" s="528">
        <v>38</v>
      </c>
      <c r="H61" s="529">
        <v>39</v>
      </c>
      <c r="I61" s="529">
        <v>40</v>
      </c>
      <c r="J61" s="529">
        <v>41</v>
      </c>
      <c r="K61" s="532">
        <v>42</v>
      </c>
    </row>
    <row r="62" spans="2:11" x14ac:dyDescent="0.3">
      <c r="B62" s="167"/>
      <c r="C62" s="194"/>
      <c r="D62" s="195"/>
      <c r="E62" s="195"/>
      <c r="F62" s="167"/>
      <c r="G62" s="196"/>
      <c r="H62" s="196"/>
      <c r="I62" s="196"/>
      <c r="J62" s="196"/>
      <c r="K62" s="197"/>
    </row>
    <row r="63" spans="2:11" x14ac:dyDescent="0.3">
      <c r="B63" s="198"/>
      <c r="C63" s="198"/>
      <c r="D63" s="199"/>
      <c r="E63" s="199"/>
      <c r="F63" s="198"/>
      <c r="G63" s="198"/>
      <c r="H63" s="198"/>
      <c r="I63" s="198"/>
      <c r="J63" s="198"/>
      <c r="K63" s="198"/>
    </row>
    <row r="66" spans="2:11" x14ac:dyDescent="0.3">
      <c r="B66" s="191" t="s">
        <v>173</v>
      </c>
      <c r="C66" s="167"/>
      <c r="D66" s="192"/>
      <c r="E66" s="192"/>
      <c r="F66" s="167"/>
      <c r="G66" s="221">
        <f>CHOOSE($D$7,G68,G69,G70)</f>
        <v>0.12</v>
      </c>
      <c r="H66" s="221">
        <f t="shared" ref="H66:K66" si="6">CHOOSE($D$7,H68,H69,H70)</f>
        <v>0.11</v>
      </c>
      <c r="I66" s="221">
        <f t="shared" si="6"/>
        <v>0.1</v>
      </c>
      <c r="J66" s="221">
        <f t="shared" si="6"/>
        <v>0.09</v>
      </c>
      <c r="K66" s="222">
        <f t="shared" si="6"/>
        <v>0.08</v>
      </c>
    </row>
    <row r="67" spans="2:11" x14ac:dyDescent="0.3">
      <c r="B67" s="193"/>
      <c r="C67" s="167"/>
      <c r="D67" s="192"/>
      <c r="E67" s="192"/>
      <c r="F67" s="167"/>
      <c r="G67" s="208"/>
      <c r="H67" s="209"/>
      <c r="I67" s="209"/>
      <c r="J67" s="209"/>
      <c r="K67" s="209"/>
    </row>
    <row r="68" spans="2:11" x14ac:dyDescent="0.3">
      <c r="B68" s="193"/>
      <c r="C68" s="194" t="str">
        <f>C59</f>
        <v>Base Case</v>
      </c>
      <c r="D68" s="192"/>
      <c r="E68" s="192"/>
      <c r="F68" s="167"/>
      <c r="G68" s="535">
        <v>0.12</v>
      </c>
      <c r="H68" s="536">
        <v>0.11</v>
      </c>
      <c r="I68" s="536">
        <v>0.1</v>
      </c>
      <c r="J68" s="536">
        <v>0.09</v>
      </c>
      <c r="K68" s="537">
        <v>0.08</v>
      </c>
    </row>
    <row r="69" spans="2:11" x14ac:dyDescent="0.3">
      <c r="B69" s="193"/>
      <c r="C69" s="194" t="str">
        <f>C60</f>
        <v>Bull Case</v>
      </c>
      <c r="D69" s="192"/>
      <c r="E69" s="192"/>
      <c r="F69" s="167"/>
      <c r="G69" s="538">
        <v>0.15</v>
      </c>
      <c r="H69" s="254">
        <v>0.14000000000000001</v>
      </c>
      <c r="I69" s="254">
        <v>0.13</v>
      </c>
      <c r="J69" s="254">
        <v>0.12</v>
      </c>
      <c r="K69" s="539">
        <v>0.11</v>
      </c>
    </row>
    <row r="70" spans="2:11" x14ac:dyDescent="0.3">
      <c r="B70" s="193"/>
      <c r="C70" s="194" t="str">
        <f>C61</f>
        <v>Bear Case</v>
      </c>
      <c r="D70" s="192"/>
      <c r="E70" s="192"/>
      <c r="F70" s="167"/>
      <c r="G70" s="540">
        <v>0.08</v>
      </c>
      <c r="H70" s="541">
        <v>7.0000000000000007E-2</v>
      </c>
      <c r="I70" s="541">
        <v>0.06</v>
      </c>
      <c r="J70" s="541">
        <v>0.06</v>
      </c>
      <c r="K70" s="542">
        <v>0.05</v>
      </c>
    </row>
    <row r="71" spans="2:11" x14ac:dyDescent="0.3">
      <c r="B71" s="167"/>
      <c r="C71" s="194"/>
      <c r="D71" s="195"/>
      <c r="E71" s="195"/>
      <c r="F71" s="167"/>
      <c r="G71" s="196"/>
      <c r="H71" s="196"/>
      <c r="I71" s="196"/>
      <c r="J71" s="196"/>
      <c r="K71" s="197"/>
    </row>
    <row r="72" spans="2:11" x14ac:dyDescent="0.3">
      <c r="B72" s="198"/>
      <c r="C72" s="198"/>
      <c r="D72" s="199"/>
      <c r="E72" s="199"/>
      <c r="F72" s="198"/>
      <c r="G72" s="198"/>
      <c r="H72" s="198"/>
      <c r="I72" s="198"/>
      <c r="J72" s="198"/>
      <c r="K72" s="198"/>
    </row>
    <row r="73" spans="2:11" x14ac:dyDescent="0.3">
      <c r="B73" s="167"/>
      <c r="C73" s="167"/>
      <c r="D73" s="190"/>
      <c r="E73" s="190"/>
      <c r="F73" s="167"/>
      <c r="G73" s="167"/>
      <c r="H73" s="167"/>
      <c r="I73" s="167"/>
      <c r="J73" s="167"/>
      <c r="K73" s="167"/>
    </row>
    <row r="74" spans="2:11" x14ac:dyDescent="0.3">
      <c r="B74" s="167"/>
      <c r="C74" s="167"/>
      <c r="D74" s="190"/>
      <c r="E74" s="190"/>
      <c r="F74" s="167"/>
      <c r="G74" s="167"/>
      <c r="H74" s="167"/>
      <c r="I74" s="167"/>
      <c r="J74" s="167"/>
      <c r="K74" s="167"/>
    </row>
    <row r="75" spans="2:11" x14ac:dyDescent="0.3">
      <c r="B75" s="191" t="s">
        <v>12</v>
      </c>
      <c r="C75" s="200"/>
      <c r="D75" s="201"/>
      <c r="E75" s="201"/>
      <c r="F75" s="200"/>
      <c r="G75" s="221">
        <f>CHOOSE($D$7,G77,G78,G79)</f>
        <v>0.52</v>
      </c>
      <c r="H75" s="221">
        <f t="shared" ref="H75:K75" si="7">CHOOSE($D$7,H77,H78,H79)</f>
        <v>0.53</v>
      </c>
      <c r="I75" s="221">
        <f t="shared" si="7"/>
        <v>0.54</v>
      </c>
      <c r="J75" s="221">
        <f t="shared" si="7"/>
        <v>0.55000000000000004</v>
      </c>
      <c r="K75" s="222">
        <f t="shared" si="7"/>
        <v>0.56000000000000005</v>
      </c>
    </row>
    <row r="76" spans="2:11" x14ac:dyDescent="0.3">
      <c r="B76" s="202"/>
      <c r="C76" s="167"/>
      <c r="D76" s="192"/>
      <c r="E76" s="192"/>
      <c r="F76" s="167"/>
      <c r="G76" s="203"/>
      <c r="H76" s="203"/>
      <c r="I76" s="203"/>
      <c r="J76" s="203"/>
      <c r="K76" s="203"/>
    </row>
    <row r="77" spans="2:11" x14ac:dyDescent="0.3">
      <c r="B77" s="167"/>
      <c r="C77" s="194" t="str">
        <f>C68</f>
        <v>Base Case</v>
      </c>
      <c r="D77" s="195"/>
      <c r="E77" s="195"/>
      <c r="F77" s="167"/>
      <c r="G77" s="535">
        <v>0.52</v>
      </c>
      <c r="H77" s="536">
        <v>0.53</v>
      </c>
      <c r="I77" s="536">
        <v>0.54</v>
      </c>
      <c r="J77" s="536">
        <v>0.55000000000000004</v>
      </c>
      <c r="K77" s="537">
        <v>0.56000000000000005</v>
      </c>
    </row>
    <row r="78" spans="2:11" x14ac:dyDescent="0.3">
      <c r="B78" s="167"/>
      <c r="C78" s="194" t="str">
        <f>C69</f>
        <v>Bull Case</v>
      </c>
      <c r="D78" s="195"/>
      <c r="E78" s="195"/>
      <c r="F78" s="167"/>
      <c r="G78" s="538">
        <v>0.54</v>
      </c>
      <c r="H78" s="254">
        <v>0.56000000000000005</v>
      </c>
      <c r="I78" s="254">
        <v>0.57999999999999996</v>
      </c>
      <c r="J78" s="254">
        <v>0.59</v>
      </c>
      <c r="K78" s="539">
        <v>0.6</v>
      </c>
    </row>
    <row r="79" spans="2:11" x14ac:dyDescent="0.3">
      <c r="B79" s="167"/>
      <c r="C79" s="194" t="str">
        <f>C70</f>
        <v>Bear Case</v>
      </c>
      <c r="D79" s="195"/>
      <c r="E79" s="195"/>
      <c r="F79" s="167"/>
      <c r="G79" s="540">
        <v>0.5</v>
      </c>
      <c r="H79" s="541">
        <v>0.5</v>
      </c>
      <c r="I79" s="541">
        <v>0.51</v>
      </c>
      <c r="J79" s="541">
        <v>0.51</v>
      </c>
      <c r="K79" s="542">
        <v>0.52</v>
      </c>
    </row>
    <row r="80" spans="2:11" x14ac:dyDescent="0.3">
      <c r="B80" s="167"/>
      <c r="C80" s="205"/>
      <c r="D80" s="195"/>
      <c r="E80" s="195"/>
      <c r="F80" s="167"/>
      <c r="G80" s="77"/>
      <c r="H80" s="77"/>
      <c r="I80" s="77"/>
      <c r="J80" s="77"/>
      <c r="K80" s="206"/>
    </row>
    <row r="81" spans="2:11" x14ac:dyDescent="0.3">
      <c r="B81" s="198"/>
      <c r="C81" s="198"/>
      <c r="D81" s="198"/>
      <c r="E81" s="198"/>
      <c r="F81" s="198"/>
      <c r="G81" s="198"/>
      <c r="H81" s="198"/>
      <c r="I81" s="198"/>
      <c r="J81" s="198"/>
      <c r="K81" s="198"/>
    </row>
    <row r="84" spans="2:11" x14ac:dyDescent="0.3">
      <c r="B84" s="191" t="s">
        <v>210</v>
      </c>
      <c r="C84" s="167"/>
      <c r="D84" s="192"/>
      <c r="E84" s="192"/>
      <c r="F84" s="167"/>
      <c r="G84" s="221">
        <f>CHOOSE($D$7,G86,G87,G88)</f>
        <v>0.108</v>
      </c>
      <c r="H84" s="221">
        <f t="shared" ref="H84:K84" si="8">CHOOSE($D$7,H86,H87,H88)</f>
        <v>0.108</v>
      </c>
      <c r="I84" s="221">
        <f t="shared" si="8"/>
        <v>0.108</v>
      </c>
      <c r="J84" s="221">
        <f t="shared" si="8"/>
        <v>0.108</v>
      </c>
      <c r="K84" s="222">
        <f t="shared" si="8"/>
        <v>0.108</v>
      </c>
    </row>
    <row r="85" spans="2:11" x14ac:dyDescent="0.3">
      <c r="B85" s="193"/>
      <c r="C85" s="167"/>
      <c r="D85" s="192"/>
      <c r="E85" s="192"/>
      <c r="F85" s="167"/>
      <c r="G85" s="208"/>
      <c r="H85" s="209"/>
      <c r="I85" s="209"/>
      <c r="J85" s="209"/>
      <c r="K85" s="209"/>
    </row>
    <row r="86" spans="2:11" x14ac:dyDescent="0.3">
      <c r="B86" s="193"/>
      <c r="C86" s="194" t="str">
        <f>C77</f>
        <v>Base Case</v>
      </c>
      <c r="D86" s="192"/>
      <c r="E86" s="192"/>
      <c r="F86" s="167"/>
      <c r="G86" s="213">
        <v>0.108</v>
      </c>
      <c r="H86" s="214">
        <v>0.108</v>
      </c>
      <c r="I86" s="214">
        <v>0.108</v>
      </c>
      <c r="J86" s="214">
        <v>0.108</v>
      </c>
      <c r="K86" s="215">
        <v>0.108</v>
      </c>
    </row>
    <row r="87" spans="2:11" x14ac:dyDescent="0.3">
      <c r="B87" s="193"/>
      <c r="C87" s="194" t="str">
        <f>C78</f>
        <v>Bull Case</v>
      </c>
      <c r="D87" s="192"/>
      <c r="E87" s="192"/>
      <c r="F87" s="167"/>
      <c r="G87" s="216">
        <v>0.10299999999999999</v>
      </c>
      <c r="H87" s="318">
        <v>0.10299999999999999</v>
      </c>
      <c r="I87" s="318">
        <v>0.10299999999999999</v>
      </c>
      <c r="J87" s="318">
        <v>0.10299999999999999</v>
      </c>
      <c r="K87" s="217">
        <v>0.10299999999999999</v>
      </c>
    </row>
    <row r="88" spans="2:11" x14ac:dyDescent="0.3">
      <c r="B88" s="193"/>
      <c r="C88" s="194" t="str">
        <f>C79</f>
        <v>Bear Case</v>
      </c>
      <c r="D88" s="192"/>
      <c r="E88" s="192"/>
      <c r="F88" s="167"/>
      <c r="G88" s="218">
        <v>0.113</v>
      </c>
      <c r="H88" s="219">
        <v>0.113</v>
      </c>
      <c r="I88" s="219">
        <v>0.113</v>
      </c>
      <c r="J88" s="219">
        <v>0.113</v>
      </c>
      <c r="K88" s="220">
        <v>0.113</v>
      </c>
    </row>
    <row r="89" spans="2:11" x14ac:dyDescent="0.3">
      <c r="B89" s="167"/>
      <c r="C89" s="194"/>
      <c r="D89" s="195"/>
      <c r="E89" s="195"/>
      <c r="F89" s="167"/>
      <c r="G89" s="196"/>
      <c r="H89" s="196"/>
      <c r="I89" s="196"/>
      <c r="J89" s="196"/>
      <c r="K89" s="197"/>
    </row>
    <row r="90" spans="2:11" x14ac:dyDescent="0.3">
      <c r="B90" s="198"/>
      <c r="C90" s="198"/>
      <c r="D90" s="199"/>
      <c r="E90" s="199"/>
      <c r="F90" s="198"/>
      <c r="G90" s="198"/>
      <c r="H90" s="198"/>
      <c r="I90" s="198"/>
      <c r="J90" s="198"/>
      <c r="K90" s="198"/>
    </row>
    <row r="91" spans="2:11" x14ac:dyDescent="0.3">
      <c r="B91" s="167"/>
      <c r="C91" s="167"/>
      <c r="D91" s="190"/>
      <c r="E91" s="190"/>
      <c r="F91" s="167"/>
      <c r="G91" s="167"/>
      <c r="H91" s="167"/>
      <c r="I91" s="167"/>
      <c r="J91" s="167"/>
      <c r="K91" s="167"/>
    </row>
    <row r="92" spans="2:11" x14ac:dyDescent="0.3">
      <c r="B92" s="167"/>
      <c r="C92" s="167"/>
      <c r="D92" s="190"/>
      <c r="E92" s="190"/>
      <c r="F92" s="167"/>
      <c r="G92" s="167"/>
      <c r="H92" s="167"/>
      <c r="I92" s="167"/>
      <c r="J92" s="167"/>
      <c r="K92" s="167"/>
    </row>
    <row r="93" spans="2:11" x14ac:dyDescent="0.3">
      <c r="B93" s="191" t="s">
        <v>211</v>
      </c>
      <c r="C93" s="200"/>
      <c r="D93" s="201"/>
      <c r="E93" s="201"/>
      <c r="F93" s="200"/>
      <c r="G93" s="221">
        <f>CHOOSE($D$7,G95,G96,G97)</f>
        <v>4.1000000000000002E-2</v>
      </c>
      <c r="H93" s="221">
        <f t="shared" ref="H93:K93" si="9">CHOOSE($D$7,H95,H96,H97)</f>
        <v>4.1000000000000002E-2</v>
      </c>
      <c r="I93" s="221">
        <f t="shared" si="9"/>
        <v>4.1000000000000002E-2</v>
      </c>
      <c r="J93" s="221">
        <f t="shared" si="9"/>
        <v>4.1000000000000002E-2</v>
      </c>
      <c r="K93" s="222">
        <f t="shared" si="9"/>
        <v>4.1000000000000002E-2</v>
      </c>
    </row>
    <row r="94" spans="2:11" x14ac:dyDescent="0.3">
      <c r="B94" s="202"/>
      <c r="C94" s="167"/>
      <c r="D94" s="192"/>
      <c r="E94" s="192"/>
      <c r="F94" s="167"/>
      <c r="G94" s="203"/>
      <c r="H94" s="203"/>
      <c r="I94" s="203"/>
      <c r="J94" s="203"/>
      <c r="K94" s="203"/>
    </row>
    <row r="95" spans="2:11" x14ac:dyDescent="0.3">
      <c r="B95" s="167"/>
      <c r="C95" s="194" t="str">
        <f>C86</f>
        <v>Base Case</v>
      </c>
      <c r="D95" s="195"/>
      <c r="E95" s="195"/>
      <c r="F95" s="167"/>
      <c r="G95" s="213">
        <v>4.1000000000000002E-2</v>
      </c>
      <c r="H95" s="214">
        <v>4.1000000000000002E-2</v>
      </c>
      <c r="I95" s="214">
        <v>4.1000000000000002E-2</v>
      </c>
      <c r="J95" s="214">
        <v>4.1000000000000002E-2</v>
      </c>
      <c r="K95" s="215">
        <v>4.1000000000000002E-2</v>
      </c>
    </row>
    <row r="96" spans="2:11" x14ac:dyDescent="0.3">
      <c r="B96" s="167"/>
      <c r="C96" s="194" t="str">
        <f>C87</f>
        <v>Bull Case</v>
      </c>
      <c r="D96" s="195"/>
      <c r="E96" s="195"/>
      <c r="F96" s="167"/>
      <c r="G96" s="216">
        <v>3.9E-2</v>
      </c>
      <c r="H96" s="318">
        <v>3.9E-2</v>
      </c>
      <c r="I96" s="318">
        <v>3.9E-2</v>
      </c>
      <c r="J96" s="318">
        <v>3.9E-2</v>
      </c>
      <c r="K96" s="217">
        <v>3.9E-2</v>
      </c>
    </row>
    <row r="97" spans="2:11" x14ac:dyDescent="0.3">
      <c r="B97" s="167"/>
      <c r="C97" s="194" t="str">
        <f>C88</f>
        <v>Bear Case</v>
      </c>
      <c r="D97" s="195"/>
      <c r="E97" s="195"/>
      <c r="F97" s="167"/>
      <c r="G97" s="218">
        <v>4.3999999999999997E-2</v>
      </c>
      <c r="H97" s="219">
        <v>4.3999999999999997E-2</v>
      </c>
      <c r="I97" s="219">
        <v>4.3999999999999997E-2</v>
      </c>
      <c r="J97" s="219">
        <v>4.3999999999999997E-2</v>
      </c>
      <c r="K97" s="220">
        <v>4.3999999999999997E-2</v>
      </c>
    </row>
    <row r="98" spans="2:11" x14ac:dyDescent="0.3">
      <c r="B98" s="167"/>
      <c r="C98" s="205"/>
      <c r="D98" s="195"/>
      <c r="E98" s="195"/>
      <c r="F98" s="167"/>
      <c r="G98" s="77"/>
      <c r="H98" s="77"/>
      <c r="I98" s="77"/>
      <c r="J98" s="77"/>
      <c r="K98" s="206"/>
    </row>
    <row r="99" spans="2:11" x14ac:dyDescent="0.3">
      <c r="B99" s="198"/>
      <c r="C99" s="198"/>
      <c r="D99" s="198"/>
      <c r="E99" s="198"/>
      <c r="F99" s="198"/>
      <c r="G99" s="198"/>
      <c r="H99" s="198"/>
      <c r="I99" s="198"/>
      <c r="J99" s="198"/>
      <c r="K99" s="198"/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3</xdr:col>
                    <xdr:colOff>15240</xdr:colOff>
                    <xdr:row>6</xdr:row>
                    <xdr:rowOff>0</xdr:rowOff>
                  </from>
                  <to>
                    <xdr:col>4</xdr:col>
                    <xdr:colOff>190500</xdr:colOff>
                    <xdr:row>7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638E2-C14F-40C4-A231-20A3019E2AFE}">
  <dimension ref="A1:Q390"/>
  <sheetViews>
    <sheetView showGridLines="0" topLeftCell="A346" zoomScale="78" zoomScaleNormal="83" workbookViewId="0">
      <selection activeCell="B337" sqref="B337"/>
    </sheetView>
  </sheetViews>
  <sheetFormatPr defaultRowHeight="13.8" x14ac:dyDescent="0.25"/>
  <cols>
    <col min="1" max="3" width="8.88671875" style="19"/>
    <col min="4" max="4" width="9.44140625" style="19" bestFit="1" customWidth="1"/>
    <col min="5" max="6" width="8.88671875" style="19"/>
    <col min="7" max="7" width="14" style="19" bestFit="1" customWidth="1"/>
    <col min="8" max="8" width="12.6640625" style="19" bestFit="1" customWidth="1"/>
    <col min="9" max="10" width="10.109375" style="19" bestFit="1" customWidth="1"/>
    <col min="11" max="11" width="11.6640625" style="329" bestFit="1" customWidth="1"/>
    <col min="12" max="16" width="10" style="282" bestFit="1" customWidth="1"/>
    <col min="17" max="17" width="8.88671875" style="57"/>
    <col min="18" max="16384" width="8.88671875" style="19"/>
  </cols>
  <sheetData>
    <row r="1" spans="1:17" ht="22.8" x14ac:dyDescent="0.4">
      <c r="A1" s="15"/>
      <c r="B1" s="16"/>
      <c r="C1" s="17"/>
      <c r="D1" s="17"/>
      <c r="E1" s="17"/>
      <c r="F1" s="18"/>
      <c r="G1" s="18"/>
      <c r="H1" s="17"/>
      <c r="I1" s="17"/>
      <c r="J1" s="17"/>
      <c r="K1" s="326"/>
      <c r="L1" s="275"/>
      <c r="M1" s="275"/>
      <c r="N1" s="275"/>
      <c r="O1" s="275"/>
      <c r="P1" s="276" t="str">
        <f>UPPER("Currently running: "&amp;CHOOSE(Scenarios!D7,Scenarios!C14,Scenarios!C15,Scenarios!C16)&amp;" Scenario")</f>
        <v>CURRENTLY RUNNING: BASE CASE SCENARIO</v>
      </c>
    </row>
    <row r="2" spans="1:17" ht="22.8" x14ac:dyDescent="0.4">
      <c r="A2" s="20"/>
      <c r="B2" s="21" t="str">
        <f>Assumptions!$C$2</f>
        <v>ASML</v>
      </c>
      <c r="C2" s="17"/>
      <c r="D2" s="17"/>
      <c r="E2" s="17"/>
      <c r="F2" s="18"/>
      <c r="G2" s="18"/>
      <c r="H2" s="17"/>
      <c r="I2" s="17"/>
      <c r="J2" s="17"/>
      <c r="K2" s="326"/>
      <c r="L2" s="275"/>
      <c r="M2" s="275"/>
      <c r="N2" s="275"/>
      <c r="O2" s="275"/>
      <c r="P2" s="275"/>
    </row>
    <row r="3" spans="1:17" ht="17.399999999999999" x14ac:dyDescent="0.3">
      <c r="A3" s="22"/>
      <c r="B3" s="23" t="s">
        <v>0</v>
      </c>
      <c r="C3" s="24"/>
      <c r="D3" s="24"/>
      <c r="E3" s="24"/>
      <c r="F3" s="25"/>
      <c r="G3" s="25"/>
      <c r="H3" s="24"/>
      <c r="I3" s="24"/>
      <c r="J3" s="24"/>
      <c r="K3" s="327"/>
      <c r="L3" s="277"/>
      <c r="M3" s="277"/>
      <c r="N3" s="277"/>
      <c r="O3" s="277"/>
      <c r="P3" s="277"/>
    </row>
    <row r="4" spans="1:17" ht="18" thickBot="1" x14ac:dyDescent="0.35">
      <c r="A4" s="22"/>
      <c r="B4" s="26"/>
      <c r="C4" s="27"/>
      <c r="D4" s="27"/>
      <c r="E4" s="27"/>
      <c r="F4" s="28"/>
      <c r="G4" s="28"/>
      <c r="H4" s="27"/>
      <c r="I4" s="27"/>
      <c r="J4" s="27"/>
      <c r="K4" s="328"/>
      <c r="L4" s="278"/>
      <c r="M4" s="278"/>
      <c r="N4" s="278"/>
      <c r="O4" s="278"/>
      <c r="P4" s="278"/>
      <c r="Q4" s="62"/>
    </row>
    <row r="5" spans="1:17" ht="17.399999999999999" x14ac:dyDescent="0.3">
      <c r="A5" s="23"/>
      <c r="B5" s="533" t="s">
        <v>319</v>
      </c>
      <c r="C5" s="24"/>
      <c r="D5" s="24"/>
      <c r="E5" s="24"/>
      <c r="F5" s="25"/>
      <c r="G5" s="25"/>
      <c r="H5" s="24"/>
      <c r="I5" s="24"/>
      <c r="J5" s="24"/>
      <c r="K5" s="327"/>
      <c r="L5" s="277"/>
      <c r="M5" s="277"/>
      <c r="N5" s="277"/>
      <c r="O5" s="277"/>
      <c r="P5" s="277"/>
      <c r="Q5" s="62"/>
    </row>
    <row r="6" spans="1:17" x14ac:dyDescent="0.25">
      <c r="F6" s="30"/>
      <c r="G6" s="31"/>
      <c r="L6" s="279" t="s">
        <v>1</v>
      </c>
      <c r="M6" s="280"/>
      <c r="N6" s="280"/>
      <c r="O6" s="280"/>
      <c r="P6" s="280"/>
    </row>
    <row r="7" spans="1:17" x14ac:dyDescent="0.25">
      <c r="F7" s="30"/>
      <c r="G7" s="32">
        <f>H7-1</f>
        <v>2020</v>
      </c>
      <c r="H7" s="13">
        <f>I7-1</f>
        <v>2021</v>
      </c>
      <c r="I7" s="33">
        <f>J7-1</f>
        <v>2022</v>
      </c>
      <c r="J7" s="33">
        <f>K7-1</f>
        <v>2023</v>
      </c>
      <c r="K7" s="1">
        <f>L7-1</f>
        <v>2024</v>
      </c>
      <c r="L7" s="315">
        <f>Assumptions!H11</f>
        <v>2025</v>
      </c>
      <c r="M7" s="315">
        <f>L7+1</f>
        <v>2026</v>
      </c>
      <c r="N7" s="315">
        <f t="shared" ref="N7:P7" si="0">M7+1</f>
        <v>2027</v>
      </c>
      <c r="O7" s="315">
        <f t="shared" si="0"/>
        <v>2028</v>
      </c>
      <c r="P7" s="315">
        <f t="shared" si="0"/>
        <v>2029</v>
      </c>
    </row>
    <row r="8" spans="1:17" x14ac:dyDescent="0.25">
      <c r="F8" s="30"/>
      <c r="G8" s="32"/>
      <c r="H8" s="13"/>
      <c r="I8" s="33"/>
      <c r="J8" s="33"/>
      <c r="K8" s="1"/>
      <c r="L8" s="281"/>
      <c r="M8" s="281"/>
      <c r="N8" s="281"/>
      <c r="O8" s="281"/>
      <c r="P8" s="281"/>
    </row>
    <row r="9" spans="1:17" x14ac:dyDescent="0.25">
      <c r="B9" s="56" t="s">
        <v>85</v>
      </c>
      <c r="F9" s="30"/>
      <c r="G9" s="74"/>
      <c r="H9" s="13"/>
      <c r="I9" s="33"/>
      <c r="J9" s="33"/>
      <c r="K9" s="1"/>
      <c r="L9" s="281"/>
      <c r="M9" s="281"/>
      <c r="N9" s="281"/>
      <c r="O9" s="281"/>
      <c r="P9" s="281"/>
    </row>
    <row r="10" spans="1:17" x14ac:dyDescent="0.25">
      <c r="F10" s="30"/>
      <c r="G10" s="138"/>
      <c r="H10" s="137"/>
      <c r="I10" s="35"/>
      <c r="J10" s="35"/>
      <c r="K10" s="2"/>
    </row>
    <row r="11" spans="1:17" x14ac:dyDescent="0.25">
      <c r="B11" s="45" t="s">
        <v>3</v>
      </c>
      <c r="F11" s="37"/>
      <c r="G11" s="138"/>
      <c r="H11" s="137"/>
      <c r="I11" s="35"/>
      <c r="J11" s="35"/>
      <c r="K11" s="2"/>
      <c r="L11" s="283"/>
      <c r="M11" s="283"/>
      <c r="N11" s="283"/>
      <c r="O11" s="283"/>
      <c r="P11" s="283"/>
    </row>
    <row r="12" spans="1:17" x14ac:dyDescent="0.25">
      <c r="B12" s="45"/>
      <c r="C12" s="56" t="s">
        <v>140</v>
      </c>
      <c r="F12" s="37"/>
      <c r="G12" s="155">
        <v>0</v>
      </c>
      <c r="H12" s="155">
        <v>0</v>
      </c>
      <c r="I12" s="155">
        <v>0</v>
      </c>
      <c r="J12" s="155">
        <v>0</v>
      </c>
      <c r="K12" s="330">
        <v>2</v>
      </c>
      <c r="L12" s="271">
        <f>Scenarios!G30</f>
        <v>3</v>
      </c>
      <c r="M12" s="271">
        <f>Scenarios!H30</f>
        <v>6</v>
      </c>
      <c r="N12" s="271">
        <f>Scenarios!I30</f>
        <v>10</v>
      </c>
      <c r="O12" s="271">
        <f>Scenarios!J30</f>
        <v>14</v>
      </c>
      <c r="P12" s="271">
        <f>Scenarios!K30</f>
        <v>18</v>
      </c>
    </row>
    <row r="13" spans="1:17" x14ac:dyDescent="0.25">
      <c r="B13" s="45"/>
      <c r="C13" s="56" t="s">
        <v>141</v>
      </c>
      <c r="F13" s="37"/>
      <c r="G13" s="155">
        <v>31</v>
      </c>
      <c r="H13" s="155">
        <v>42</v>
      </c>
      <c r="I13" s="155">
        <v>40</v>
      </c>
      <c r="J13" s="155">
        <v>53</v>
      </c>
      <c r="K13" s="330">
        <v>42</v>
      </c>
      <c r="L13" s="271">
        <f>Scenarios!G12-L12</f>
        <v>52</v>
      </c>
      <c r="M13" s="271">
        <f>Scenarios!H12-M12</f>
        <v>59</v>
      </c>
      <c r="N13" s="271">
        <f>Scenarios!I12-N12</f>
        <v>65</v>
      </c>
      <c r="O13" s="271">
        <f>Scenarios!J12-O12</f>
        <v>66</v>
      </c>
      <c r="P13" s="271">
        <f>Scenarios!K12-P12</f>
        <v>67</v>
      </c>
    </row>
    <row r="14" spans="1:17" x14ac:dyDescent="0.25">
      <c r="B14" s="45"/>
      <c r="F14" s="37"/>
      <c r="G14" s="155"/>
      <c r="H14" s="155"/>
      <c r="I14" s="155"/>
      <c r="J14" s="155"/>
      <c r="K14" s="330"/>
      <c r="L14" s="284"/>
      <c r="M14" s="284"/>
      <c r="N14" s="284"/>
      <c r="O14" s="284"/>
      <c r="P14" s="284"/>
    </row>
    <row r="15" spans="1:17" x14ac:dyDescent="0.25">
      <c r="C15" s="19" t="s">
        <v>142</v>
      </c>
      <c r="F15" s="37"/>
      <c r="G15" s="155">
        <v>68</v>
      </c>
      <c r="H15" s="155">
        <v>81</v>
      </c>
      <c r="I15" s="155">
        <v>81</v>
      </c>
      <c r="J15" s="155">
        <v>125</v>
      </c>
      <c r="K15" s="330">
        <v>129</v>
      </c>
      <c r="L15" s="284"/>
      <c r="M15" s="284"/>
      <c r="N15" s="284"/>
      <c r="O15" s="284"/>
      <c r="P15" s="284"/>
    </row>
    <row r="16" spans="1:17" x14ac:dyDescent="0.25">
      <c r="C16" s="19" t="s">
        <v>143</v>
      </c>
      <c r="F16" s="37"/>
      <c r="G16" s="155">
        <v>22</v>
      </c>
      <c r="H16" s="155">
        <v>22</v>
      </c>
      <c r="I16" s="155">
        <v>28</v>
      </c>
      <c r="J16" s="155">
        <v>32</v>
      </c>
      <c r="K16" s="330">
        <v>28</v>
      </c>
      <c r="L16" s="284"/>
      <c r="M16" s="284"/>
      <c r="N16" s="284"/>
      <c r="O16" s="284"/>
      <c r="P16" s="284"/>
    </row>
    <row r="17" spans="2:16" x14ac:dyDescent="0.25">
      <c r="C17" s="19" t="s">
        <v>144</v>
      </c>
      <c r="F17" s="37"/>
      <c r="G17" s="155">
        <v>103</v>
      </c>
      <c r="H17" s="155">
        <v>131</v>
      </c>
      <c r="I17" s="155">
        <v>151</v>
      </c>
      <c r="J17" s="155">
        <v>184</v>
      </c>
      <c r="K17" s="330">
        <v>152</v>
      </c>
      <c r="L17" s="284"/>
      <c r="M17" s="284"/>
      <c r="N17" s="284"/>
      <c r="O17" s="284"/>
      <c r="P17" s="284"/>
    </row>
    <row r="18" spans="2:16" x14ac:dyDescent="0.25">
      <c r="C18" s="19" t="s">
        <v>145</v>
      </c>
      <c r="F18" s="37"/>
      <c r="G18" s="155">
        <v>34</v>
      </c>
      <c r="H18" s="155">
        <v>33</v>
      </c>
      <c r="I18" s="155">
        <v>45</v>
      </c>
      <c r="J18" s="155">
        <v>55</v>
      </c>
      <c r="K18" s="330">
        <v>65</v>
      </c>
      <c r="L18" s="284"/>
      <c r="M18" s="284"/>
      <c r="N18" s="284"/>
      <c r="O18" s="284"/>
      <c r="P18" s="284"/>
    </row>
    <row r="19" spans="2:16" x14ac:dyDescent="0.25">
      <c r="C19" s="56" t="s">
        <v>146</v>
      </c>
      <c r="F19" s="37"/>
      <c r="G19" s="156">
        <f>SUM(G15:G18)</f>
        <v>227</v>
      </c>
      <c r="H19" s="156">
        <f t="shared" ref="H19:K19" si="1">SUM(H15:H18)</f>
        <v>267</v>
      </c>
      <c r="I19" s="156">
        <f t="shared" si="1"/>
        <v>305</v>
      </c>
      <c r="J19" s="156">
        <f t="shared" si="1"/>
        <v>396</v>
      </c>
      <c r="K19" s="331">
        <f t="shared" si="1"/>
        <v>374</v>
      </c>
      <c r="L19" s="272">
        <f>Scenarios!G48</f>
        <v>320</v>
      </c>
      <c r="M19" s="272">
        <f>Scenarios!H48</f>
        <v>340</v>
      </c>
      <c r="N19" s="272">
        <f>Scenarios!I48</f>
        <v>360</v>
      </c>
      <c r="O19" s="272">
        <f>Scenarios!J48</f>
        <v>370</v>
      </c>
      <c r="P19" s="272">
        <f>Scenarios!K48</f>
        <v>380</v>
      </c>
    </row>
    <row r="20" spans="2:16" x14ac:dyDescent="0.25">
      <c r="F20" s="37"/>
      <c r="G20" s="138"/>
      <c r="H20" s="137"/>
      <c r="I20" s="41"/>
      <c r="J20" s="42"/>
      <c r="K20" s="6"/>
      <c r="L20" s="284"/>
      <c r="M20" s="284"/>
      <c r="N20" s="284"/>
      <c r="O20" s="284"/>
      <c r="P20" s="284"/>
    </row>
    <row r="21" spans="2:16" x14ac:dyDescent="0.25">
      <c r="B21" s="48"/>
      <c r="C21" s="58"/>
      <c r="D21" s="59"/>
      <c r="E21" s="59"/>
      <c r="F21" s="60"/>
      <c r="G21" s="139"/>
      <c r="H21" s="140"/>
      <c r="I21" s="49"/>
      <c r="J21" s="49"/>
      <c r="K21" s="10"/>
      <c r="L21" s="285"/>
      <c r="M21" s="285"/>
      <c r="N21" s="285"/>
      <c r="O21" s="285"/>
      <c r="P21" s="285"/>
    </row>
    <row r="22" spans="2:16" x14ac:dyDescent="0.25">
      <c r="C22" s="36"/>
      <c r="F22" s="46"/>
      <c r="G22" s="66"/>
      <c r="H22" s="137"/>
      <c r="I22" s="50"/>
      <c r="J22" s="50"/>
      <c r="K22" s="11"/>
      <c r="L22" s="286"/>
      <c r="M22" s="286"/>
      <c r="N22" s="286"/>
      <c r="O22" s="286"/>
      <c r="P22" s="286"/>
    </row>
    <row r="23" spans="2:16" x14ac:dyDescent="0.25">
      <c r="B23" s="56" t="s">
        <v>2</v>
      </c>
      <c r="F23" s="37"/>
      <c r="G23" s="138"/>
      <c r="H23" s="137"/>
      <c r="I23" s="137"/>
      <c r="J23" s="137"/>
      <c r="L23" s="283"/>
      <c r="M23" s="283"/>
      <c r="N23" s="283"/>
      <c r="O23" s="283"/>
      <c r="P23" s="283"/>
    </row>
    <row r="24" spans="2:16" x14ac:dyDescent="0.25">
      <c r="B24" s="56"/>
      <c r="C24" s="56" t="s">
        <v>147</v>
      </c>
      <c r="F24" s="37"/>
      <c r="G24" s="159">
        <v>0</v>
      </c>
      <c r="H24" s="159">
        <v>0</v>
      </c>
      <c r="I24" s="159">
        <v>0</v>
      </c>
      <c r="J24" s="159">
        <v>0</v>
      </c>
      <c r="K24" s="262">
        <f>K37/K12</f>
        <v>232.5</v>
      </c>
      <c r="L24" s="271">
        <f>Scenarios!G39</f>
        <v>330</v>
      </c>
      <c r="M24" s="271">
        <f>Scenarios!H39</f>
        <v>340</v>
      </c>
      <c r="N24" s="271">
        <f>Scenarios!I39</f>
        <v>350</v>
      </c>
      <c r="O24" s="271">
        <f>Scenarios!J39</f>
        <v>360</v>
      </c>
      <c r="P24" s="271">
        <f>Scenarios!K39</f>
        <v>370</v>
      </c>
    </row>
    <row r="25" spans="2:16" x14ac:dyDescent="0.25">
      <c r="B25" s="56"/>
      <c r="C25" s="56" t="s">
        <v>148</v>
      </c>
      <c r="F25" s="37"/>
      <c r="G25" s="159">
        <f>G38/G13</f>
        <v>143.99354838709678</v>
      </c>
      <c r="H25" s="159">
        <f>H38/H13</f>
        <v>149.61904761904762</v>
      </c>
      <c r="I25" s="159">
        <f>I38/I13</f>
        <v>176.13249999999999</v>
      </c>
      <c r="J25" s="159">
        <f>J38/J13</f>
        <v>172.15094339622641</v>
      </c>
      <c r="K25" s="262">
        <f>K38/K13</f>
        <v>187.05714285714285</v>
      </c>
      <c r="L25" s="273">
        <f>(Scenarios!G21*Scenarios!G12-Scenarios!G39*Scenarios!G30)/Model!L13</f>
        <v>187.21153846153845</v>
      </c>
      <c r="M25" s="273">
        <f>(Scenarios!H21*Scenarios!H12-Scenarios!H39*Scenarios!H30)/Model!M13</f>
        <v>191.27118644067798</v>
      </c>
      <c r="N25" s="273">
        <f>(Scenarios!I21*Scenarios!I12-Scenarios!I39*Scenarios!I30)/Model!N13</f>
        <v>194.23076923076923</v>
      </c>
      <c r="O25" s="273">
        <f>(Scenarios!J21*Scenarios!J12-Scenarios!J39*Scenarios!J30)/Model!O13</f>
        <v>202.42424242424244</v>
      </c>
      <c r="P25" s="273">
        <f>(Scenarios!K21*Scenarios!K12-Scenarios!K39*Scenarios!K30)/Model!P13</f>
        <v>205.07462686567163</v>
      </c>
    </row>
    <row r="26" spans="2:16" x14ac:dyDescent="0.25">
      <c r="B26" s="56"/>
      <c r="F26" s="37"/>
      <c r="G26" s="159"/>
      <c r="H26" s="159"/>
      <c r="I26" s="159"/>
      <c r="J26" s="159"/>
      <c r="K26" s="262"/>
      <c r="L26" s="283"/>
      <c r="M26" s="283"/>
      <c r="N26" s="283"/>
      <c r="O26" s="283"/>
      <c r="P26" s="283"/>
    </row>
    <row r="27" spans="2:16" x14ac:dyDescent="0.25">
      <c r="B27" s="56"/>
      <c r="C27" s="19" t="s">
        <v>158</v>
      </c>
      <c r="F27" s="37"/>
      <c r="G27" s="159">
        <f t="shared" ref="G27:K31" si="2">G40/G15</f>
        <v>57.602941176470587</v>
      </c>
      <c r="H27" s="159">
        <f t="shared" si="2"/>
        <v>61.229629629629635</v>
      </c>
      <c r="I27" s="159">
        <f t="shared" si="2"/>
        <v>64.648148148148152</v>
      </c>
      <c r="J27" s="159">
        <f t="shared" si="2"/>
        <v>72.139200000000002</v>
      </c>
      <c r="K27" s="262">
        <f t="shared" si="2"/>
        <v>74.937984496124031</v>
      </c>
      <c r="L27" s="283"/>
      <c r="M27" s="283"/>
      <c r="N27" s="283"/>
      <c r="O27" s="283"/>
      <c r="P27" s="283"/>
    </row>
    <row r="28" spans="2:16" x14ac:dyDescent="0.25">
      <c r="B28" s="56"/>
      <c r="C28" s="19" t="s">
        <v>159</v>
      </c>
      <c r="F28" s="37"/>
      <c r="G28" s="159">
        <f t="shared" si="2"/>
        <v>19.40909090909091</v>
      </c>
      <c r="H28" s="159">
        <f t="shared" si="2"/>
        <v>19.631818181818179</v>
      </c>
      <c r="I28" s="159">
        <f t="shared" si="2"/>
        <v>22.275000000000002</v>
      </c>
      <c r="J28" s="159">
        <f t="shared" si="2"/>
        <v>24.381250000000001</v>
      </c>
      <c r="K28" s="262">
        <f t="shared" si="2"/>
        <v>27.657142857142855</v>
      </c>
      <c r="L28" s="283"/>
      <c r="M28" s="283"/>
      <c r="N28" s="283"/>
      <c r="O28" s="283"/>
      <c r="P28" s="283"/>
    </row>
    <row r="29" spans="2:16" x14ac:dyDescent="0.25">
      <c r="B29" s="56"/>
      <c r="C29" s="19" t="s">
        <v>160</v>
      </c>
      <c r="F29" s="37"/>
      <c r="G29" s="159">
        <f t="shared" si="2"/>
        <v>9.828155339805825</v>
      </c>
      <c r="H29" s="159">
        <f t="shared" si="2"/>
        <v>10.086259541984733</v>
      </c>
      <c r="I29" s="159">
        <f t="shared" si="2"/>
        <v>10.951655629139074</v>
      </c>
      <c r="J29" s="159">
        <f t="shared" si="2"/>
        <v>11.970108695652174</v>
      </c>
      <c r="K29" s="262">
        <f t="shared" si="2"/>
        <v>13.1</v>
      </c>
      <c r="L29" s="283"/>
      <c r="M29" s="283"/>
      <c r="N29" s="283"/>
      <c r="O29" s="283"/>
      <c r="P29" s="283"/>
    </row>
    <row r="30" spans="2:16" x14ac:dyDescent="0.25">
      <c r="B30" s="56"/>
      <c r="C30" s="19" t="s">
        <v>161</v>
      </c>
      <c r="F30" s="37"/>
      <c r="G30" s="159">
        <f t="shared" si="2"/>
        <v>4.3058823529411763</v>
      </c>
      <c r="H30" s="159">
        <f t="shared" si="2"/>
        <v>4.3121212121212125</v>
      </c>
      <c r="I30" s="159">
        <f t="shared" si="2"/>
        <v>4.7</v>
      </c>
      <c r="J30" s="159">
        <f t="shared" si="2"/>
        <v>5.0618181818181816</v>
      </c>
      <c r="K30" s="262">
        <f t="shared" si="2"/>
        <v>5.68</v>
      </c>
      <c r="L30" s="283"/>
      <c r="M30" s="283"/>
      <c r="N30" s="283"/>
      <c r="O30" s="283"/>
      <c r="P30" s="283"/>
    </row>
    <row r="31" spans="2:16" x14ac:dyDescent="0.25">
      <c r="B31" s="56"/>
      <c r="C31" s="56" t="s">
        <v>162</v>
      </c>
      <c r="F31" s="37"/>
      <c r="G31" s="160">
        <f t="shared" si="2"/>
        <v>24.240969162995594</v>
      </c>
      <c r="H31" s="160">
        <f t="shared" si="2"/>
        <v>25.674531835205993</v>
      </c>
      <c r="I31" s="160">
        <f t="shared" si="2"/>
        <v>25.329180327868851</v>
      </c>
      <c r="J31" s="160">
        <f t="shared" si="2"/>
        <v>31.006313131313131</v>
      </c>
      <c r="K31" s="332">
        <f t="shared" si="2"/>
        <v>34.229411764705887</v>
      </c>
      <c r="L31" s="272">
        <f>Scenarios!G57</f>
        <v>40</v>
      </c>
      <c r="M31" s="272">
        <f>Scenarios!H57</f>
        <v>41</v>
      </c>
      <c r="N31" s="272">
        <f>Scenarios!I57</f>
        <v>42</v>
      </c>
      <c r="O31" s="272">
        <f>Scenarios!J57</f>
        <v>43</v>
      </c>
      <c r="P31" s="272">
        <f>Scenarios!K57</f>
        <v>44</v>
      </c>
    </row>
    <row r="32" spans="2:16" x14ac:dyDescent="0.25">
      <c r="B32" s="45"/>
      <c r="G32" s="161"/>
      <c r="H32" s="161"/>
      <c r="I32" s="161"/>
      <c r="J32" s="161"/>
      <c r="K32" s="333"/>
      <c r="L32" s="287"/>
      <c r="M32" s="287"/>
      <c r="N32" s="287"/>
      <c r="O32" s="287"/>
      <c r="P32" s="287"/>
    </row>
    <row r="33" spans="1:16" x14ac:dyDescent="0.25">
      <c r="B33" s="45"/>
      <c r="C33" s="56"/>
      <c r="F33" s="37"/>
      <c r="G33" s="138"/>
      <c r="H33" s="137"/>
      <c r="I33" s="137"/>
      <c r="J33" s="137"/>
      <c r="L33" s="283"/>
      <c r="M33" s="283"/>
      <c r="N33" s="283"/>
      <c r="O33" s="283"/>
      <c r="P33" s="283"/>
    </row>
    <row r="34" spans="1:16" x14ac:dyDescent="0.25">
      <c r="B34" s="48"/>
      <c r="C34" s="48"/>
      <c r="D34" s="48"/>
      <c r="E34" s="48"/>
      <c r="F34" s="51"/>
      <c r="G34" s="141"/>
      <c r="H34" s="140"/>
      <c r="I34" s="140"/>
      <c r="J34" s="140"/>
      <c r="K34" s="334"/>
      <c r="L34" s="288"/>
      <c r="M34" s="288"/>
      <c r="N34" s="288"/>
      <c r="O34" s="288"/>
      <c r="P34" s="288"/>
    </row>
    <row r="35" spans="1:16" x14ac:dyDescent="0.25">
      <c r="F35" s="37"/>
      <c r="G35" s="138"/>
      <c r="H35" s="137"/>
      <c r="I35" s="137"/>
      <c r="J35" s="137"/>
      <c r="L35" s="283"/>
      <c r="M35" s="283"/>
      <c r="N35" s="283"/>
      <c r="O35" s="283"/>
      <c r="P35" s="283"/>
    </row>
    <row r="36" spans="1:16" x14ac:dyDescent="0.25">
      <c r="B36" s="34" t="s">
        <v>4</v>
      </c>
      <c r="F36" s="37"/>
      <c r="G36" s="138"/>
      <c r="H36" s="137"/>
      <c r="I36" s="137"/>
      <c r="J36" s="137"/>
      <c r="L36" s="283"/>
      <c r="M36" s="283"/>
      <c r="N36" s="283"/>
      <c r="O36" s="283"/>
      <c r="P36" s="283"/>
    </row>
    <row r="37" spans="1:16" x14ac:dyDescent="0.25">
      <c r="B37" s="34"/>
      <c r="C37" s="56" t="s">
        <v>150</v>
      </c>
      <c r="F37" s="37"/>
      <c r="G37" s="39">
        <v>0</v>
      </c>
      <c r="H37" s="39">
        <v>0</v>
      </c>
      <c r="I37" s="39">
        <v>0</v>
      </c>
      <c r="J37" s="39">
        <v>0</v>
      </c>
      <c r="K37" s="4">
        <v>465</v>
      </c>
      <c r="L37" s="271">
        <f>L12*L24</f>
        <v>990</v>
      </c>
      <c r="M37" s="271">
        <f t="shared" ref="M37:P37" si="3">M12*M24</f>
        <v>2040</v>
      </c>
      <c r="N37" s="271">
        <f t="shared" si="3"/>
        <v>3500</v>
      </c>
      <c r="O37" s="271">
        <f t="shared" si="3"/>
        <v>5040</v>
      </c>
      <c r="P37" s="271">
        <f t="shared" si="3"/>
        <v>6660</v>
      </c>
    </row>
    <row r="38" spans="1:16" x14ac:dyDescent="0.25">
      <c r="B38" s="34"/>
      <c r="C38" s="56" t="s">
        <v>151</v>
      </c>
      <c r="F38" s="37"/>
      <c r="G38" s="39">
        <v>4463.8</v>
      </c>
      <c r="H38" s="39">
        <v>6284</v>
      </c>
      <c r="I38" s="39">
        <v>7045.3</v>
      </c>
      <c r="J38" s="39">
        <v>9124</v>
      </c>
      <c r="K38" s="4">
        <v>7856.4</v>
      </c>
      <c r="L38" s="271">
        <f>L13*L25</f>
        <v>9735</v>
      </c>
      <c r="M38" s="271">
        <f t="shared" ref="M38:P38" si="4">M13*M25</f>
        <v>11285</v>
      </c>
      <c r="N38" s="271">
        <f t="shared" si="4"/>
        <v>12625</v>
      </c>
      <c r="O38" s="271">
        <f t="shared" si="4"/>
        <v>13360</v>
      </c>
      <c r="P38" s="271">
        <f t="shared" si="4"/>
        <v>13740</v>
      </c>
    </row>
    <row r="39" spans="1:16" x14ac:dyDescent="0.25">
      <c r="B39" s="34"/>
      <c r="F39" s="37"/>
      <c r="G39" s="39"/>
      <c r="H39" s="39"/>
      <c r="I39" s="39"/>
      <c r="J39" s="39"/>
      <c r="K39" s="4"/>
      <c r="L39" s="283"/>
      <c r="M39" s="283"/>
      <c r="N39" s="283"/>
      <c r="O39" s="283"/>
      <c r="P39" s="283"/>
    </row>
    <row r="40" spans="1:16" x14ac:dyDescent="0.25">
      <c r="B40" s="34"/>
      <c r="C40" s="19" t="s">
        <v>152</v>
      </c>
      <c r="F40" s="37"/>
      <c r="G40" s="39">
        <v>3917</v>
      </c>
      <c r="H40" s="39">
        <v>4959.6000000000004</v>
      </c>
      <c r="I40" s="39">
        <v>5236.5</v>
      </c>
      <c r="J40" s="39">
        <v>9017.4</v>
      </c>
      <c r="K40" s="4">
        <v>9667</v>
      </c>
      <c r="L40" s="283"/>
      <c r="M40" s="283"/>
      <c r="N40" s="283"/>
      <c r="O40" s="283"/>
      <c r="P40" s="283"/>
    </row>
    <row r="41" spans="1:16" x14ac:dyDescent="0.25">
      <c r="B41" s="34"/>
      <c r="C41" s="19" t="s">
        <v>153</v>
      </c>
      <c r="F41" s="37"/>
      <c r="G41" s="39">
        <v>427</v>
      </c>
      <c r="H41" s="39">
        <v>431.9</v>
      </c>
      <c r="I41" s="39">
        <v>623.70000000000005</v>
      </c>
      <c r="J41" s="39">
        <v>780.2</v>
      </c>
      <c r="K41" s="4">
        <v>774.4</v>
      </c>
      <c r="L41" s="283"/>
      <c r="M41" s="283"/>
      <c r="N41" s="283"/>
      <c r="O41" s="283"/>
      <c r="P41" s="283"/>
    </row>
    <row r="42" spans="1:16" x14ac:dyDescent="0.25">
      <c r="B42" s="34"/>
      <c r="C42" s="19" t="s">
        <v>154</v>
      </c>
      <c r="F42" s="37"/>
      <c r="G42" s="39">
        <v>1012.3</v>
      </c>
      <c r="H42" s="39">
        <v>1321.3</v>
      </c>
      <c r="I42" s="39">
        <v>1653.7</v>
      </c>
      <c r="J42" s="39">
        <v>2202.5</v>
      </c>
      <c r="K42" s="4">
        <v>1991.2</v>
      </c>
      <c r="L42" s="283"/>
      <c r="M42" s="283"/>
      <c r="N42" s="283"/>
      <c r="O42" s="283"/>
      <c r="P42" s="283"/>
    </row>
    <row r="43" spans="1:16" x14ac:dyDescent="0.25">
      <c r="A43" s="52"/>
      <c r="C43" s="19" t="s">
        <v>155</v>
      </c>
      <c r="F43" s="37"/>
      <c r="G43" s="39">
        <v>146.4</v>
      </c>
      <c r="H43" s="39">
        <v>142.30000000000001</v>
      </c>
      <c r="I43" s="39">
        <v>211.5</v>
      </c>
      <c r="J43" s="39">
        <v>278.39999999999998</v>
      </c>
      <c r="K43" s="4">
        <v>369.2</v>
      </c>
      <c r="L43" s="287"/>
      <c r="M43" s="287"/>
      <c r="N43" s="287"/>
      <c r="O43" s="287"/>
      <c r="P43" s="287"/>
    </row>
    <row r="44" spans="1:16" x14ac:dyDescent="0.25">
      <c r="C44" s="56" t="s">
        <v>156</v>
      </c>
      <c r="F44" s="37"/>
      <c r="G44" s="157">
        <f>SUM(G40:G43)</f>
        <v>5502.7</v>
      </c>
      <c r="H44" s="157">
        <f t="shared" ref="H44:K44" si="5">SUM(H40:H43)</f>
        <v>6855.1</v>
      </c>
      <c r="I44" s="157">
        <f t="shared" si="5"/>
        <v>7725.4</v>
      </c>
      <c r="J44" s="157">
        <f t="shared" si="5"/>
        <v>12278.5</v>
      </c>
      <c r="K44" s="335">
        <f t="shared" si="5"/>
        <v>12801.800000000001</v>
      </c>
      <c r="L44" s="274">
        <f>L19*L31</f>
        <v>12800</v>
      </c>
      <c r="M44" s="274">
        <f t="shared" ref="M44:P44" si="6">M19*M31</f>
        <v>13940</v>
      </c>
      <c r="N44" s="274">
        <f t="shared" si="6"/>
        <v>15120</v>
      </c>
      <c r="O44" s="274">
        <f t="shared" si="6"/>
        <v>15910</v>
      </c>
      <c r="P44" s="274">
        <f t="shared" si="6"/>
        <v>16720</v>
      </c>
    </row>
    <row r="45" spans="1:16" x14ac:dyDescent="0.25">
      <c r="F45" s="37"/>
      <c r="G45" s="39"/>
      <c r="H45" s="39"/>
      <c r="I45" s="39"/>
      <c r="J45" s="39"/>
      <c r="K45" s="4"/>
      <c r="L45" s="287"/>
      <c r="M45" s="287"/>
      <c r="N45" s="287"/>
      <c r="O45" s="287"/>
      <c r="P45" s="287"/>
    </row>
    <row r="46" spans="1:16" x14ac:dyDescent="0.25">
      <c r="C46" s="56" t="s">
        <v>157</v>
      </c>
      <c r="F46" s="37"/>
      <c r="G46" s="39">
        <v>350.1</v>
      </c>
      <c r="H46" s="39">
        <v>513.70000000000005</v>
      </c>
      <c r="I46" s="39">
        <v>659.6</v>
      </c>
      <c r="J46" s="39">
        <v>536.1</v>
      </c>
      <c r="K46" s="4">
        <v>645.5</v>
      </c>
      <c r="L46" s="289">
        <f>K46*(1+Assumptions!M48)</f>
        <v>735.87000000000012</v>
      </c>
      <c r="M46" s="289">
        <f>L46*(1+Assumptions!N48)</f>
        <v>824.17440000000022</v>
      </c>
      <c r="N46" s="289">
        <f>M46*(1+Assumptions!O48)</f>
        <v>914.83358400000031</v>
      </c>
      <c r="O46" s="289">
        <f>N46*(1+Assumptions!P48)</f>
        <v>997.1686065600004</v>
      </c>
      <c r="P46" s="289">
        <f>O46*(1+Assumptions!Q48)</f>
        <v>1086.9137811504006</v>
      </c>
    </row>
    <row r="47" spans="1:16" x14ac:dyDescent="0.25">
      <c r="C47" s="43"/>
      <c r="F47" s="37"/>
      <c r="G47" s="138"/>
      <c r="H47" s="137"/>
      <c r="I47" s="142"/>
      <c r="J47" s="142"/>
      <c r="K47" s="336"/>
      <c r="L47" s="287"/>
      <c r="M47" s="287"/>
      <c r="N47" s="287"/>
      <c r="O47" s="287"/>
      <c r="P47" s="287"/>
    </row>
    <row r="48" spans="1:16" x14ac:dyDescent="0.25">
      <c r="B48" s="79" t="s">
        <v>84</v>
      </c>
      <c r="C48" s="80"/>
      <c r="D48" s="72"/>
      <c r="E48" s="72"/>
      <c r="F48" s="81"/>
      <c r="G48" s="158">
        <f>G37+G38+G44+G46</f>
        <v>10316.6</v>
      </c>
      <c r="H48" s="158">
        <f t="shared" ref="H48:K48" si="7">H37+H38+H44+H46</f>
        <v>13652.800000000001</v>
      </c>
      <c r="I48" s="158">
        <f t="shared" si="7"/>
        <v>15430.300000000001</v>
      </c>
      <c r="J48" s="158">
        <f t="shared" si="7"/>
        <v>21938.6</v>
      </c>
      <c r="K48" s="337">
        <f t="shared" si="7"/>
        <v>21768.7</v>
      </c>
      <c r="L48" s="290">
        <f>L37+L38+L44+L46</f>
        <v>24260.87</v>
      </c>
      <c r="M48" s="290">
        <f t="shared" ref="M48:P48" si="8">M37+M38+M44+M46</f>
        <v>28089.1744</v>
      </c>
      <c r="N48" s="290">
        <f t="shared" si="8"/>
        <v>32159.833584</v>
      </c>
      <c r="O48" s="290">
        <f t="shared" si="8"/>
        <v>35307.168606560001</v>
      </c>
      <c r="P48" s="290">
        <f t="shared" si="8"/>
        <v>38206.913781150404</v>
      </c>
    </row>
    <row r="49" spans="1:16" x14ac:dyDescent="0.25">
      <c r="C49" s="43"/>
      <c r="F49" s="37"/>
      <c r="G49" s="138"/>
      <c r="H49" s="137"/>
      <c r="I49" s="142"/>
      <c r="J49" s="142"/>
      <c r="K49" s="336"/>
      <c r="L49" s="287"/>
      <c r="M49" s="287"/>
      <c r="N49" s="287"/>
      <c r="O49" s="287"/>
      <c r="P49" s="287"/>
    </row>
    <row r="50" spans="1:16" x14ac:dyDescent="0.25">
      <c r="C50" s="43"/>
      <c r="F50" s="37"/>
      <c r="G50" s="138"/>
      <c r="H50" s="137"/>
      <c r="I50" s="142"/>
      <c r="J50" s="142"/>
      <c r="K50" s="336"/>
      <c r="L50" s="287"/>
      <c r="M50" s="287"/>
      <c r="N50" s="287"/>
      <c r="O50" s="287"/>
      <c r="P50" s="287"/>
    </row>
    <row r="51" spans="1:16" x14ac:dyDescent="0.25">
      <c r="B51" s="56" t="s">
        <v>86</v>
      </c>
      <c r="C51" s="43"/>
      <c r="F51" s="37"/>
      <c r="G51" s="138"/>
      <c r="H51" s="137"/>
      <c r="I51" s="142"/>
      <c r="J51" s="269"/>
      <c r="K51" s="336"/>
      <c r="L51" s="287"/>
      <c r="M51" s="287"/>
      <c r="N51" s="287"/>
      <c r="O51" s="287"/>
      <c r="P51" s="287"/>
    </row>
    <row r="52" spans="1:16" x14ac:dyDescent="0.25">
      <c r="C52" s="43" t="s">
        <v>87</v>
      </c>
      <c r="F52" s="37"/>
      <c r="G52" s="162">
        <f>G53/G48</f>
        <v>0.35495221293837115</v>
      </c>
      <c r="H52" s="162">
        <f t="shared" ref="H52:K52" si="9">H53/H48</f>
        <v>0.36316360014063043</v>
      </c>
      <c r="I52" s="162">
        <f t="shared" si="9"/>
        <v>0.37219626319643817</v>
      </c>
      <c r="J52" s="162">
        <f t="shared" si="9"/>
        <v>0.25616493304039456</v>
      </c>
      <c r="K52" s="338">
        <f t="shared" si="9"/>
        <v>0.29832741505004889</v>
      </c>
      <c r="L52" s="271">
        <f>Assumptions!M50</f>
        <v>0.30499999999999999</v>
      </c>
      <c r="M52" s="271">
        <f>Assumptions!N50</f>
        <v>0.31</v>
      </c>
      <c r="N52" s="271">
        <f>Assumptions!O50</f>
        <v>0.315</v>
      </c>
      <c r="O52" s="271">
        <f>Assumptions!P50</f>
        <v>0.32</v>
      </c>
      <c r="P52" s="271">
        <f>Assumptions!Q50</f>
        <v>0.32500000000000001</v>
      </c>
    </row>
    <row r="53" spans="1:16" x14ac:dyDescent="0.25">
      <c r="C53" s="43" t="s">
        <v>88</v>
      </c>
      <c r="F53" s="37"/>
      <c r="G53" s="39">
        <v>3661.9</v>
      </c>
      <c r="H53" s="39">
        <v>4958.2</v>
      </c>
      <c r="I53" s="39">
        <v>5743.1</v>
      </c>
      <c r="J53" s="39">
        <v>5619.9</v>
      </c>
      <c r="K53" s="4">
        <v>6494.2</v>
      </c>
      <c r="L53" s="289">
        <f>L52*L48</f>
        <v>7399.5653499999999</v>
      </c>
      <c r="M53" s="289">
        <f t="shared" ref="M53:P53" si="10">M52*M48</f>
        <v>8707.6440640000001</v>
      </c>
      <c r="N53" s="289">
        <f t="shared" si="10"/>
        <v>10130.34757896</v>
      </c>
      <c r="O53" s="289">
        <f t="shared" si="10"/>
        <v>11298.293954099201</v>
      </c>
      <c r="P53" s="289">
        <f t="shared" si="10"/>
        <v>12417.246978873882</v>
      </c>
    </row>
    <row r="54" spans="1:16" x14ac:dyDescent="0.25">
      <c r="C54" s="43"/>
      <c r="F54" s="37"/>
      <c r="G54" s="138"/>
      <c r="H54" s="137"/>
      <c r="I54" s="142"/>
      <c r="J54" s="142"/>
      <c r="K54" s="336"/>
      <c r="L54" s="287"/>
      <c r="M54" s="287"/>
      <c r="N54" s="287"/>
      <c r="O54" s="287"/>
      <c r="P54" s="287"/>
    </row>
    <row r="55" spans="1:16" x14ac:dyDescent="0.25">
      <c r="B55" s="79" t="s">
        <v>10</v>
      </c>
      <c r="C55" s="72"/>
      <c r="D55" s="72"/>
      <c r="E55" s="72"/>
      <c r="F55" s="82" t="s">
        <v>5</v>
      </c>
      <c r="G55" s="82">
        <f>G48+G53</f>
        <v>13978.5</v>
      </c>
      <c r="H55" s="82">
        <f>H48+H53</f>
        <v>18611</v>
      </c>
      <c r="I55" s="82">
        <f>I48+I53</f>
        <v>21173.4</v>
      </c>
      <c r="J55" s="82">
        <f t="shared" ref="J55:K55" si="11">J48+J53</f>
        <v>27558.5</v>
      </c>
      <c r="K55" s="339">
        <f t="shared" si="11"/>
        <v>28262.9</v>
      </c>
      <c r="L55" s="291">
        <f>L48+L53</f>
        <v>31660.43535</v>
      </c>
      <c r="M55" s="291">
        <f t="shared" ref="M55:P55" si="12">M48+M53</f>
        <v>36796.818463999996</v>
      </c>
      <c r="N55" s="291">
        <f t="shared" si="12"/>
        <v>42290.181162959998</v>
      </c>
      <c r="O55" s="291">
        <f t="shared" si="12"/>
        <v>46605.462560659202</v>
      </c>
      <c r="P55" s="291">
        <f t="shared" si="12"/>
        <v>50624.160760024286</v>
      </c>
    </row>
    <row r="56" spans="1:16" x14ac:dyDescent="0.25">
      <c r="B56" s="83"/>
      <c r="C56" s="29"/>
      <c r="D56" s="29"/>
      <c r="E56" s="29"/>
      <c r="F56" s="84"/>
      <c r="G56" s="84"/>
      <c r="H56" s="29"/>
      <c r="I56" s="53"/>
      <c r="J56" s="53"/>
      <c r="K56" s="12"/>
      <c r="L56" s="292"/>
      <c r="M56" s="292"/>
      <c r="N56" s="292"/>
      <c r="O56" s="292"/>
      <c r="P56" s="292"/>
    </row>
    <row r="57" spans="1:16" x14ac:dyDescent="0.25">
      <c r="B57" s="83"/>
      <c r="C57" s="29"/>
      <c r="D57" s="29"/>
      <c r="E57" s="29"/>
      <c r="F57" s="84"/>
      <c r="G57" s="84"/>
      <c r="H57" s="29"/>
      <c r="I57" s="53"/>
      <c r="J57" s="53"/>
      <c r="K57" s="12"/>
      <c r="L57" s="292"/>
      <c r="M57" s="292"/>
      <c r="N57" s="292"/>
      <c r="O57" s="292"/>
      <c r="P57" s="292"/>
    </row>
    <row r="58" spans="1:16" x14ac:dyDescent="0.25">
      <c r="B58" s="54"/>
      <c r="C58" s="54"/>
      <c r="D58" s="54"/>
      <c r="E58" s="54"/>
      <c r="F58" s="55"/>
      <c r="G58" s="55"/>
      <c r="H58" s="54"/>
      <c r="I58" s="54"/>
      <c r="J58" s="54"/>
      <c r="K58" s="340"/>
      <c r="L58" s="293"/>
      <c r="M58" s="293"/>
      <c r="N58" s="293"/>
      <c r="O58" s="293"/>
      <c r="P58" s="293"/>
    </row>
    <row r="59" spans="1:16" x14ac:dyDescent="0.25">
      <c r="F59" s="30"/>
      <c r="G59" s="30"/>
      <c r="L59" s="283"/>
      <c r="M59" s="283"/>
      <c r="N59" s="283"/>
      <c r="O59" s="283"/>
      <c r="P59" s="283"/>
    </row>
    <row r="60" spans="1:16" x14ac:dyDescent="0.25">
      <c r="L60" s="283"/>
      <c r="M60" s="283"/>
      <c r="N60" s="283"/>
      <c r="O60" s="283"/>
      <c r="P60" s="276" t="str">
        <f>$P$1</f>
        <v>CURRENTLY RUNNING: BASE CASE SCENARIO</v>
      </c>
    </row>
    <row r="61" spans="1:16" ht="22.8" x14ac:dyDescent="0.4">
      <c r="A61" s="20"/>
      <c r="B61" s="21" t="str">
        <f>Assumptions!$C$2</f>
        <v>ASML</v>
      </c>
      <c r="C61" s="17"/>
      <c r="D61" s="17"/>
      <c r="E61" s="17"/>
      <c r="F61" s="18"/>
      <c r="G61" s="18"/>
      <c r="H61" s="17"/>
      <c r="I61" s="17"/>
      <c r="J61" s="17"/>
      <c r="K61" s="326"/>
      <c r="L61" s="294"/>
      <c r="M61" s="294"/>
      <c r="N61" s="294"/>
      <c r="O61" s="294"/>
      <c r="P61" s="294"/>
    </row>
    <row r="62" spans="1:16" ht="17.399999999999999" x14ac:dyDescent="0.3">
      <c r="A62" s="22"/>
      <c r="B62" s="23" t="s">
        <v>11</v>
      </c>
      <c r="C62" s="24"/>
      <c r="D62" s="24"/>
      <c r="E62" s="24"/>
      <c r="F62" s="25"/>
      <c r="G62" s="25"/>
      <c r="H62" s="24"/>
      <c r="I62" s="24"/>
      <c r="J62" s="24"/>
      <c r="K62" s="327"/>
      <c r="L62" s="295"/>
      <c r="M62" s="295"/>
      <c r="N62" s="295"/>
      <c r="O62" s="295"/>
      <c r="P62" s="295"/>
    </row>
    <row r="63" spans="1:16" ht="18" thickBot="1" x14ac:dyDescent="0.35">
      <c r="A63" s="22"/>
      <c r="B63" s="26"/>
      <c r="C63" s="27"/>
      <c r="D63" s="27"/>
      <c r="E63" s="27"/>
      <c r="F63" s="28"/>
      <c r="G63" s="28"/>
      <c r="H63" s="27"/>
      <c r="I63" s="27"/>
      <c r="J63" s="27"/>
      <c r="K63" s="328"/>
      <c r="L63" s="296"/>
      <c r="M63" s="296"/>
      <c r="N63" s="296"/>
      <c r="O63" s="296"/>
      <c r="P63" s="296"/>
    </row>
    <row r="64" spans="1:16" ht="17.399999999999999" x14ac:dyDescent="0.3">
      <c r="A64" s="23"/>
      <c r="B64" s="533" t="s">
        <v>319</v>
      </c>
      <c r="C64" s="24"/>
      <c r="D64" s="24"/>
      <c r="E64" s="24"/>
      <c r="F64" s="25"/>
      <c r="G64" s="25"/>
      <c r="H64" s="24"/>
      <c r="I64" s="24"/>
      <c r="J64" s="24"/>
      <c r="K64" s="327"/>
      <c r="L64" s="295"/>
      <c r="M64" s="295"/>
      <c r="N64" s="295"/>
      <c r="O64" s="295"/>
      <c r="P64" s="295"/>
    </row>
    <row r="65" spans="2:16" x14ac:dyDescent="0.25">
      <c r="F65" s="30"/>
      <c r="G65" s="31"/>
      <c r="L65" s="297" t="s">
        <v>1</v>
      </c>
      <c r="M65" s="298"/>
      <c r="N65" s="298"/>
      <c r="O65" s="298"/>
      <c r="P65" s="298"/>
    </row>
    <row r="66" spans="2:16" x14ac:dyDescent="0.25">
      <c r="F66" s="30"/>
      <c r="G66" s="32">
        <f>G$7</f>
        <v>2020</v>
      </c>
      <c r="H66" s="32">
        <f t="shared" ref="H66:P66" si="13">H$7</f>
        <v>2021</v>
      </c>
      <c r="I66" s="32">
        <f t="shared" si="13"/>
        <v>2022</v>
      </c>
      <c r="J66" s="32">
        <f t="shared" si="13"/>
        <v>2023</v>
      </c>
      <c r="K66" s="14">
        <f t="shared" si="13"/>
        <v>2024</v>
      </c>
      <c r="L66" s="316">
        <f t="shared" si="13"/>
        <v>2025</v>
      </c>
      <c r="M66" s="316">
        <f t="shared" si="13"/>
        <v>2026</v>
      </c>
      <c r="N66" s="316">
        <f t="shared" si="13"/>
        <v>2027</v>
      </c>
      <c r="O66" s="316">
        <f t="shared" si="13"/>
        <v>2028</v>
      </c>
      <c r="P66" s="316">
        <f t="shared" si="13"/>
        <v>2029</v>
      </c>
    </row>
    <row r="67" spans="2:16" x14ac:dyDescent="0.25">
      <c r="F67" s="30"/>
      <c r="G67" s="30"/>
      <c r="I67" s="35"/>
      <c r="J67" s="35"/>
      <c r="K67" s="2"/>
      <c r="L67" s="283"/>
      <c r="M67" s="283"/>
      <c r="N67" s="283"/>
      <c r="O67" s="283"/>
      <c r="P67" s="283"/>
    </row>
    <row r="68" spans="2:16" x14ac:dyDescent="0.25">
      <c r="B68" s="45"/>
      <c r="C68" s="43" t="s">
        <v>208</v>
      </c>
      <c r="F68" s="37"/>
      <c r="G68" s="159">
        <f>G48</f>
        <v>10316.6</v>
      </c>
      <c r="H68" s="159">
        <f t="shared" ref="H68:K68" si="14">H48</f>
        <v>13652.800000000001</v>
      </c>
      <c r="I68" s="159">
        <f t="shared" si="14"/>
        <v>15430.300000000001</v>
      </c>
      <c r="J68" s="159">
        <f t="shared" si="14"/>
        <v>21938.6</v>
      </c>
      <c r="K68" s="262">
        <f t="shared" si="14"/>
        <v>21768.7</v>
      </c>
      <c r="L68" s="289">
        <f>L48</f>
        <v>24260.87</v>
      </c>
      <c r="M68" s="289">
        <f t="shared" ref="M68:P68" si="15">M48</f>
        <v>28089.1744</v>
      </c>
      <c r="N68" s="289">
        <f t="shared" si="15"/>
        <v>32159.833584</v>
      </c>
      <c r="O68" s="289">
        <f t="shared" si="15"/>
        <v>35307.168606560001</v>
      </c>
      <c r="P68" s="289">
        <f t="shared" si="15"/>
        <v>38206.913781150404</v>
      </c>
    </row>
    <row r="69" spans="2:16" x14ac:dyDescent="0.25">
      <c r="B69" s="45"/>
      <c r="C69" s="43" t="s">
        <v>209</v>
      </c>
      <c r="F69" s="37"/>
      <c r="G69" s="159">
        <f>G53</f>
        <v>3661.9</v>
      </c>
      <c r="H69" s="159">
        <f t="shared" ref="H69:K69" si="16">H53</f>
        <v>4958.2</v>
      </c>
      <c r="I69" s="159">
        <f t="shared" si="16"/>
        <v>5743.1</v>
      </c>
      <c r="J69" s="159">
        <f t="shared" si="16"/>
        <v>5619.9</v>
      </c>
      <c r="K69" s="262">
        <f t="shared" si="16"/>
        <v>6494.2</v>
      </c>
      <c r="L69" s="289">
        <f>L53</f>
        <v>7399.5653499999999</v>
      </c>
      <c r="M69" s="289">
        <f t="shared" ref="M69:P69" si="17">M53</f>
        <v>8707.6440640000001</v>
      </c>
      <c r="N69" s="289">
        <f t="shared" si="17"/>
        <v>10130.34757896</v>
      </c>
      <c r="O69" s="289">
        <f t="shared" si="17"/>
        <v>11298.293954099201</v>
      </c>
      <c r="P69" s="289">
        <f t="shared" si="17"/>
        <v>12417.246978873882</v>
      </c>
    </row>
    <row r="70" spans="2:16" x14ac:dyDescent="0.25">
      <c r="B70" s="45"/>
      <c r="C70" s="43" t="s">
        <v>10</v>
      </c>
      <c r="F70" s="37"/>
      <c r="G70" s="159">
        <f>G55</f>
        <v>13978.5</v>
      </c>
      <c r="H70" s="159">
        <f t="shared" ref="H70:K70" si="18">H55</f>
        <v>18611</v>
      </c>
      <c r="I70" s="159">
        <f t="shared" si="18"/>
        <v>21173.4</v>
      </c>
      <c r="J70" s="159">
        <f t="shared" si="18"/>
        <v>27558.5</v>
      </c>
      <c r="K70" s="262">
        <f t="shared" si="18"/>
        <v>28262.9</v>
      </c>
      <c r="L70" s="289">
        <f>L55</f>
        <v>31660.43535</v>
      </c>
      <c r="M70" s="289">
        <f t="shared" ref="M70:P70" si="19">M55</f>
        <v>36796.818463999996</v>
      </c>
      <c r="N70" s="289">
        <f t="shared" si="19"/>
        <v>42290.181162959998</v>
      </c>
      <c r="O70" s="289">
        <f t="shared" si="19"/>
        <v>46605.462560659202</v>
      </c>
      <c r="P70" s="289">
        <f t="shared" si="19"/>
        <v>50624.160760024286</v>
      </c>
    </row>
    <row r="71" spans="2:16" x14ac:dyDescent="0.25">
      <c r="C71" s="43"/>
      <c r="F71" s="37"/>
      <c r="G71" s="38"/>
      <c r="I71" s="39"/>
      <c r="J71" s="39"/>
      <c r="K71" s="5"/>
      <c r="L71" s="287"/>
      <c r="M71" s="287"/>
      <c r="N71" s="287"/>
      <c r="O71" s="287"/>
      <c r="P71" s="287"/>
    </row>
    <row r="72" spans="2:16" x14ac:dyDescent="0.25">
      <c r="C72" s="43" t="s">
        <v>163</v>
      </c>
      <c r="F72" s="37"/>
      <c r="G72" s="40">
        <v>5597.9</v>
      </c>
      <c r="H72" s="40">
        <v>6874.5</v>
      </c>
      <c r="I72" s="40">
        <v>7843.3</v>
      </c>
      <c r="J72" s="40">
        <v>10439.1</v>
      </c>
      <c r="K72" s="5">
        <v>10615.1</v>
      </c>
      <c r="L72" s="289">
        <f>Assumptions!M52*Model!L68</f>
        <v>11887.826299999999</v>
      </c>
      <c r="M72" s="289">
        <f>Assumptions!N52*Model!M68</f>
        <v>13763.695455999999</v>
      </c>
      <c r="N72" s="289">
        <f>Assumptions!O52*Model!N68</f>
        <v>15758.318456159999</v>
      </c>
      <c r="O72" s="289">
        <f>Assumptions!P52*Model!O68</f>
        <v>17300.512617214401</v>
      </c>
      <c r="P72" s="289">
        <f>Assumptions!Q52*Model!P68</f>
        <v>18721.387752763698</v>
      </c>
    </row>
    <row r="73" spans="2:16" x14ac:dyDescent="0.25">
      <c r="C73" s="43" t="s">
        <v>164</v>
      </c>
      <c r="F73" s="37"/>
      <c r="G73" s="40">
        <v>2012</v>
      </c>
      <c r="H73" s="40">
        <v>2319.1</v>
      </c>
      <c r="I73" s="40">
        <v>2817.4</v>
      </c>
      <c r="J73" s="40">
        <v>3345</v>
      </c>
      <c r="K73" s="5">
        <v>3364</v>
      </c>
      <c r="L73" s="289">
        <f>Assumptions!M54*Model!L69</f>
        <v>4069.7609425000001</v>
      </c>
      <c r="M73" s="289">
        <f>Assumptions!N54*Model!M69</f>
        <v>4789.2042352000008</v>
      </c>
      <c r="N73" s="289">
        <f>Assumptions!O54*Model!N69</f>
        <v>5571.6911684280003</v>
      </c>
      <c r="O73" s="289">
        <f>Assumptions!P54*Model!O69</f>
        <v>6214.061674754561</v>
      </c>
      <c r="P73" s="289">
        <f>Assumptions!Q54*Model!P69</f>
        <v>6829.4858383806359</v>
      </c>
    </row>
    <row r="74" spans="2:16" x14ac:dyDescent="0.25">
      <c r="C74" s="43" t="s">
        <v>165</v>
      </c>
      <c r="F74" s="37"/>
      <c r="G74" s="150">
        <f>G72+G73</f>
        <v>7609.9</v>
      </c>
      <c r="H74" s="150">
        <f t="shared" ref="H74:K74" si="20">H72+H73</f>
        <v>9193.6</v>
      </c>
      <c r="I74" s="150">
        <f t="shared" si="20"/>
        <v>10660.7</v>
      </c>
      <c r="J74" s="150">
        <f t="shared" si="20"/>
        <v>13784.1</v>
      </c>
      <c r="K74" s="341">
        <f t="shared" si="20"/>
        <v>13979.1</v>
      </c>
      <c r="L74" s="319">
        <f>L72+L73</f>
        <v>15957.587242499998</v>
      </c>
      <c r="M74" s="319">
        <f t="shared" ref="M74:P74" si="21">M72+M73</f>
        <v>18552.8996912</v>
      </c>
      <c r="N74" s="319">
        <f t="shared" si="21"/>
        <v>21330.009624587998</v>
      </c>
      <c r="O74" s="319">
        <f t="shared" si="21"/>
        <v>23514.574291968962</v>
      </c>
      <c r="P74" s="319">
        <f t="shared" si="21"/>
        <v>25550.873591144333</v>
      </c>
    </row>
    <row r="75" spans="2:16" x14ac:dyDescent="0.25">
      <c r="C75" s="43"/>
      <c r="F75" s="37"/>
      <c r="G75" s="40"/>
      <c r="H75" s="40"/>
      <c r="I75" s="40"/>
      <c r="J75" s="40"/>
      <c r="K75" s="5"/>
      <c r="L75" s="301"/>
      <c r="M75" s="301"/>
      <c r="N75" s="301"/>
      <c r="O75" s="301"/>
      <c r="P75" s="301"/>
    </row>
    <row r="76" spans="2:16" x14ac:dyDescent="0.25">
      <c r="C76" s="43" t="s">
        <v>23</v>
      </c>
      <c r="F76" s="37"/>
      <c r="G76" s="40">
        <v>1579.9</v>
      </c>
      <c r="H76" s="40">
        <v>1861.6</v>
      </c>
      <c r="I76" s="40">
        <v>2282.1</v>
      </c>
      <c r="J76" s="40">
        <v>3113.1</v>
      </c>
      <c r="K76" s="5">
        <v>3181</v>
      </c>
      <c r="L76" s="289">
        <f>Scenarios!G84*Model!L70</f>
        <v>3419.3270177999998</v>
      </c>
      <c r="M76" s="289">
        <f>Scenarios!H84*Model!M70</f>
        <v>3974.0563941119995</v>
      </c>
      <c r="N76" s="289">
        <f>Scenarios!I84*Model!N70</f>
        <v>4567.3395655996801</v>
      </c>
      <c r="O76" s="289">
        <f>Scenarios!J84*Model!O70</f>
        <v>5033.3899565511938</v>
      </c>
      <c r="P76" s="289">
        <f>Scenarios!K84*Model!P70</f>
        <v>5467.4093620826225</v>
      </c>
    </row>
    <row r="77" spans="2:16" x14ac:dyDescent="0.25">
      <c r="C77" s="43" t="s">
        <v>24</v>
      </c>
      <c r="F77" s="37"/>
      <c r="G77" s="40">
        <v>544.9</v>
      </c>
      <c r="H77" s="40">
        <v>725.6</v>
      </c>
      <c r="I77" s="40">
        <v>909.6</v>
      </c>
      <c r="J77" s="40">
        <v>1149.4000000000001</v>
      </c>
      <c r="K77" s="5">
        <v>1165.7</v>
      </c>
      <c r="L77" s="289">
        <f>Scenarios!G93*Model!L70</f>
        <v>1298.07784935</v>
      </c>
      <c r="M77" s="289">
        <f>Scenarios!H93*Model!M70</f>
        <v>1508.6695570239999</v>
      </c>
      <c r="N77" s="289">
        <f>Scenarios!I93*Model!N70</f>
        <v>1733.8974276813599</v>
      </c>
      <c r="O77" s="289">
        <f>Scenarios!J93*Model!O70</f>
        <v>1910.8239649870272</v>
      </c>
      <c r="P77" s="289">
        <f>Scenarios!K93*Model!P70</f>
        <v>2075.5905911609957</v>
      </c>
    </row>
    <row r="78" spans="2:16" x14ac:dyDescent="0.25">
      <c r="B78" s="56"/>
      <c r="F78" s="37"/>
      <c r="G78" s="37"/>
      <c r="L78" s="287"/>
      <c r="M78" s="287"/>
      <c r="N78" s="287"/>
      <c r="O78" s="287"/>
      <c r="P78" s="287"/>
    </row>
    <row r="79" spans="2:16" x14ac:dyDescent="0.25">
      <c r="B79" s="45"/>
      <c r="G79" s="37"/>
      <c r="I79" s="40"/>
      <c r="J79" s="40"/>
      <c r="K79" s="5"/>
      <c r="L79" s="287"/>
      <c r="M79" s="287"/>
      <c r="N79" s="287"/>
      <c r="O79" s="287"/>
      <c r="P79" s="287"/>
    </row>
    <row r="80" spans="2:16" x14ac:dyDescent="0.25">
      <c r="B80" s="45"/>
      <c r="G80" s="37"/>
      <c r="L80" s="283"/>
      <c r="M80" s="283"/>
      <c r="N80" s="283"/>
      <c r="O80" s="283"/>
      <c r="P80" s="283"/>
    </row>
    <row r="81" spans="1:17" x14ac:dyDescent="0.25">
      <c r="B81" s="54"/>
      <c r="C81" s="54"/>
      <c r="D81" s="54"/>
      <c r="E81" s="54"/>
      <c r="F81" s="55"/>
      <c r="G81" s="55"/>
      <c r="H81" s="54"/>
      <c r="I81" s="54"/>
      <c r="J81" s="54"/>
      <c r="K81" s="340"/>
      <c r="L81" s="293"/>
      <c r="M81" s="293"/>
      <c r="N81" s="293"/>
      <c r="O81" s="293"/>
      <c r="P81" s="293"/>
    </row>
    <row r="82" spans="1:17" x14ac:dyDescent="0.25">
      <c r="L82" s="283"/>
      <c r="M82" s="283"/>
      <c r="N82" s="283"/>
      <c r="O82" s="283"/>
      <c r="P82" s="283"/>
    </row>
    <row r="83" spans="1:17" x14ac:dyDescent="0.25">
      <c r="L83" s="283"/>
      <c r="M83" s="283"/>
      <c r="N83" s="283"/>
      <c r="O83" s="283"/>
      <c r="P83" s="276" t="str">
        <f>$P$1</f>
        <v>CURRENTLY RUNNING: BASE CASE SCENARIO</v>
      </c>
    </row>
    <row r="84" spans="1:17" ht="22.8" x14ac:dyDescent="0.4">
      <c r="A84" s="20"/>
      <c r="B84" s="21" t="str">
        <f>Assumptions!$C$2</f>
        <v>ASML</v>
      </c>
      <c r="C84" s="17"/>
      <c r="D84" s="17"/>
      <c r="E84" s="17"/>
      <c r="F84" s="18"/>
      <c r="G84" s="18"/>
      <c r="H84" s="17"/>
      <c r="I84" s="17"/>
      <c r="J84" s="17"/>
      <c r="K84" s="326"/>
      <c r="L84" s="294"/>
      <c r="M84" s="294"/>
      <c r="N84" s="294"/>
      <c r="O84" s="294"/>
      <c r="P84" s="294"/>
    </row>
    <row r="85" spans="1:17" ht="17.399999999999999" x14ac:dyDescent="0.3">
      <c r="A85" s="22"/>
      <c r="B85" s="23" t="s">
        <v>13</v>
      </c>
      <c r="C85" s="24"/>
      <c r="D85" s="24"/>
      <c r="E85" s="24"/>
      <c r="F85" s="25"/>
      <c r="G85" s="25"/>
      <c r="H85" s="24"/>
      <c r="I85" s="24"/>
      <c r="J85" s="24"/>
      <c r="K85" s="327"/>
      <c r="L85" s="295"/>
      <c r="M85" s="295"/>
      <c r="N85" s="295"/>
      <c r="O85" s="295"/>
      <c r="P85" s="295"/>
    </row>
    <row r="86" spans="1:17" ht="18" thickBot="1" x14ac:dyDescent="0.35">
      <c r="A86" s="22"/>
      <c r="B86" s="26"/>
      <c r="C86" s="27"/>
      <c r="D86" s="27"/>
      <c r="E86" s="27"/>
      <c r="F86" s="28"/>
      <c r="G86" s="28"/>
      <c r="H86" s="27"/>
      <c r="I86" s="27"/>
      <c r="J86" s="27"/>
      <c r="K86" s="328"/>
      <c r="L86" s="296"/>
      <c r="M86" s="296"/>
      <c r="N86" s="296"/>
      <c r="O86" s="296"/>
      <c r="P86" s="296"/>
    </row>
    <row r="87" spans="1:17" ht="17.399999999999999" x14ac:dyDescent="0.3">
      <c r="A87" s="23"/>
      <c r="B87" s="533" t="s">
        <v>319</v>
      </c>
      <c r="C87" s="24"/>
      <c r="D87" s="24"/>
      <c r="E87" s="24"/>
      <c r="F87" s="25"/>
      <c r="G87" s="25"/>
      <c r="H87" s="24"/>
      <c r="I87" s="24"/>
      <c r="J87" s="24"/>
      <c r="K87" s="327"/>
      <c r="L87" s="295"/>
      <c r="M87" s="295"/>
      <c r="N87" s="295"/>
      <c r="O87" s="295"/>
      <c r="P87" s="295"/>
    </row>
    <row r="88" spans="1:17" x14ac:dyDescent="0.25">
      <c r="F88" s="30"/>
      <c r="G88" s="31"/>
      <c r="L88" s="297" t="s">
        <v>1</v>
      </c>
      <c r="M88" s="298"/>
      <c r="N88" s="298"/>
      <c r="O88" s="298"/>
      <c r="P88" s="298"/>
    </row>
    <row r="89" spans="1:17" x14ac:dyDescent="0.25">
      <c r="G89" s="32">
        <f>G$7</f>
        <v>2020</v>
      </c>
      <c r="H89" s="32">
        <f t="shared" ref="H89:P89" si="22">H$7</f>
        <v>2021</v>
      </c>
      <c r="I89" s="32">
        <f t="shared" si="22"/>
        <v>2022</v>
      </c>
      <c r="J89" s="32">
        <f t="shared" si="22"/>
        <v>2023</v>
      </c>
      <c r="K89" s="14">
        <f t="shared" si="22"/>
        <v>2024</v>
      </c>
      <c r="L89" s="316">
        <f t="shared" si="22"/>
        <v>2025</v>
      </c>
      <c r="M89" s="316">
        <f t="shared" si="22"/>
        <v>2026</v>
      </c>
      <c r="N89" s="316">
        <f t="shared" si="22"/>
        <v>2027</v>
      </c>
      <c r="O89" s="316">
        <f t="shared" si="22"/>
        <v>2028</v>
      </c>
      <c r="P89" s="316">
        <f t="shared" si="22"/>
        <v>2029</v>
      </c>
    </row>
    <row r="90" spans="1:17" x14ac:dyDescent="0.25">
      <c r="G90" s="30"/>
      <c r="I90" s="35"/>
      <c r="J90" s="35"/>
      <c r="K90" s="2"/>
      <c r="L90" s="283"/>
      <c r="M90" s="283"/>
      <c r="N90" s="283"/>
      <c r="O90" s="283"/>
      <c r="P90" s="283"/>
    </row>
    <row r="91" spans="1:17" x14ac:dyDescent="0.25">
      <c r="B91" s="99" t="s">
        <v>40</v>
      </c>
      <c r="C91" s="78"/>
      <c r="D91" s="78"/>
      <c r="E91" s="78"/>
      <c r="F91" s="100">
        <f>Assumptions!H24</f>
        <v>6</v>
      </c>
    </row>
    <row r="92" spans="1:17" x14ac:dyDescent="0.25">
      <c r="B92" s="101" t="s">
        <v>41</v>
      </c>
      <c r="C92" s="54"/>
      <c r="D92" s="102"/>
      <c r="E92" s="103"/>
      <c r="F92" s="104">
        <f>Assumptions!H25</f>
        <v>10</v>
      </c>
    </row>
    <row r="93" spans="1:17" x14ac:dyDescent="0.25">
      <c r="B93" s="105"/>
      <c r="C93" s="29"/>
      <c r="D93" s="106"/>
      <c r="E93" s="107"/>
      <c r="F93" s="108"/>
    </row>
    <row r="94" spans="1:17" x14ac:dyDescent="0.25">
      <c r="B94" s="105"/>
      <c r="C94" s="29"/>
      <c r="D94" s="106"/>
      <c r="E94" s="107"/>
      <c r="F94" s="108"/>
    </row>
    <row r="95" spans="1:17" ht="14.4" x14ac:dyDescent="0.3">
      <c r="C95" s="19" t="s">
        <v>45</v>
      </c>
      <c r="D95" s="106"/>
      <c r="E95" s="107"/>
      <c r="F95" s="108"/>
      <c r="L95" s="324">
        <f>K360/F91</f>
        <v>1141.1333333333334</v>
      </c>
      <c r="M95" s="282">
        <f>L95</f>
        <v>1141.1333333333334</v>
      </c>
      <c r="N95" s="282">
        <f t="shared" ref="N95:P95" si="23">M95</f>
        <v>1141.1333333333334</v>
      </c>
      <c r="O95" s="282">
        <f t="shared" si="23"/>
        <v>1141.1333333333334</v>
      </c>
      <c r="P95" s="282">
        <f t="shared" si="23"/>
        <v>1141.1333333333334</v>
      </c>
      <c r="Q95" s="163"/>
    </row>
    <row r="96" spans="1:17" ht="14.4" x14ac:dyDescent="0.3">
      <c r="B96" s="45"/>
      <c r="F96" s="37"/>
      <c r="Q96" s="163"/>
    </row>
    <row r="97" spans="2:16" x14ac:dyDescent="0.25">
      <c r="F97" s="37"/>
    </row>
    <row r="98" spans="2:16" x14ac:dyDescent="0.25">
      <c r="F98" s="37"/>
    </row>
    <row r="99" spans="2:16" x14ac:dyDescent="0.25">
      <c r="C99" s="88" t="s">
        <v>44</v>
      </c>
      <c r="F99" s="37"/>
      <c r="K99" s="342" t="s">
        <v>46</v>
      </c>
    </row>
    <row r="100" spans="2:16" x14ac:dyDescent="0.25">
      <c r="C100" s="134">
        <f>L89</f>
        <v>2025</v>
      </c>
      <c r="D100" s="135">
        <f t="array" ref="D100:D104">-TRANSPOSE(L314:P314)</f>
        <v>1899.626121</v>
      </c>
      <c r="E100" s="321"/>
      <c r="F100" s="69"/>
      <c r="L100" s="324">
        <f>IF(L$89=$C100,$D100/$F$92/2,MIN($D100/$F$92,$D100-SUM($K100:K100)))</f>
        <v>94.981306050000001</v>
      </c>
      <c r="M100" s="324">
        <f>IF(M$89=$C100,$D100/$F$92/2,MIN($D100/$F$92,$D100-SUM($K100:L100)))</f>
        <v>189.9626121</v>
      </c>
      <c r="N100" s="324">
        <f>IF(N$89=$C100,$D100/$F$92/2,MIN($D100/$F$92,$D100-SUM($K100:M100)))</f>
        <v>189.9626121</v>
      </c>
      <c r="O100" s="324">
        <f>IF(O$89=$C100,$D100/$F$92/2,MIN($D100/$F$92,$D100-SUM($K100:N100)))</f>
        <v>189.9626121</v>
      </c>
      <c r="P100" s="324">
        <f>IF(P$89=$C100,$D100/$F$92/2,MIN($D100/$F$92,$D100-SUM($K100:O100)))</f>
        <v>189.9626121</v>
      </c>
    </row>
    <row r="101" spans="2:16" x14ac:dyDescent="0.25">
      <c r="C101" s="134">
        <f>C100+1</f>
        <v>2026</v>
      </c>
      <c r="D101" s="135">
        <v>2207.8091078399998</v>
      </c>
      <c r="E101" s="68"/>
      <c r="F101" s="69"/>
      <c r="M101" s="324">
        <f>IF(M$89=$C101,$D101/$F$92/2,MIN($D101/$F$92,$D101-SUM($K101:L101)))</f>
        <v>110.39045539199999</v>
      </c>
      <c r="N101" s="324">
        <f>IF(N$89=$C101,$D101/$F$92/2,MIN($D101/$F$92,$D101-SUM($K101:M101)))</f>
        <v>220.78091078399999</v>
      </c>
      <c r="O101" s="324">
        <f>IF(O$89=$C101,$D101/$F$92/2,MIN($D101/$F$92,$D101-SUM($K101:N101)))</f>
        <v>220.78091078399999</v>
      </c>
      <c r="P101" s="324">
        <f>IF(P$89=$C101,$D101/$F$92/2,MIN($D101/$F$92,$D101-SUM($K101:O101)))</f>
        <v>220.78091078399999</v>
      </c>
    </row>
    <row r="102" spans="2:16" x14ac:dyDescent="0.25">
      <c r="C102" s="134">
        <f>C101+1</f>
        <v>2027</v>
      </c>
      <c r="D102" s="135">
        <v>2537.4108697775996</v>
      </c>
      <c r="E102" s="68"/>
      <c r="F102" s="69"/>
      <c r="N102" s="324">
        <f>IF(N$89=$C102,$D102/$F$92/2,MIN($D102/$F$92,$D102-SUM($K102:M102)))</f>
        <v>126.87054348887997</v>
      </c>
      <c r="O102" s="324">
        <f>IF(O$89=$C102,$D102/$F$92/2,MIN($D102/$F$92,$D102-SUM($K102:N102)))</f>
        <v>253.74108697775995</v>
      </c>
      <c r="P102" s="324">
        <f>IF(P$89=$C102,$D102/$F$92/2,MIN($D102/$F$92,$D102-SUM($K102:O102)))</f>
        <v>253.74108697775995</v>
      </c>
    </row>
    <row r="103" spans="2:16" x14ac:dyDescent="0.25">
      <c r="C103" s="134">
        <f>C102+1</f>
        <v>2028</v>
      </c>
      <c r="D103" s="135">
        <v>2796.3277536395522</v>
      </c>
      <c r="E103" s="68"/>
      <c r="F103" s="68"/>
      <c r="O103" s="324">
        <f>IF(O$89=$C103,$D103/$F$92/2,MIN($D103/$F$92,$D103-SUM($K103:N103)))</f>
        <v>139.8163876819776</v>
      </c>
      <c r="P103" s="324">
        <f>IF(P$89=$C103,$D103/$F$92/2,MIN($D103/$F$92,$D103-SUM($K103:O103)))</f>
        <v>279.6327753639552</v>
      </c>
    </row>
    <row r="104" spans="2:16" x14ac:dyDescent="0.25">
      <c r="C104" s="134">
        <f>C103+1</f>
        <v>2029</v>
      </c>
      <c r="D104" s="136">
        <v>3037.4496456014572</v>
      </c>
      <c r="E104" s="62"/>
      <c r="F104" s="63"/>
      <c r="G104" s="64"/>
      <c r="H104" s="29"/>
      <c r="I104" s="65"/>
      <c r="J104" s="65"/>
      <c r="L104" s="283"/>
      <c r="M104" s="283"/>
      <c r="N104" s="283"/>
      <c r="O104" s="283"/>
      <c r="P104" s="324">
        <f>IF(P$89=$C104,$D104/$F$92/2,MIN($D104/$F$92,$D104-SUM($K104:O104)))</f>
        <v>151.87248228007286</v>
      </c>
    </row>
    <row r="105" spans="2:16" x14ac:dyDescent="0.25">
      <c r="B105" s="109"/>
      <c r="C105" s="89"/>
      <c r="D105" s="62"/>
      <c r="E105" s="62"/>
      <c r="F105" s="63"/>
      <c r="G105" s="64"/>
      <c r="H105" s="29"/>
      <c r="I105" s="65"/>
      <c r="J105" s="65"/>
      <c r="L105" s="283"/>
      <c r="M105" s="283"/>
      <c r="N105" s="283"/>
      <c r="O105" s="283"/>
    </row>
    <row r="106" spans="2:16" x14ac:dyDescent="0.25">
      <c r="B106" s="109"/>
      <c r="C106" s="90"/>
      <c r="D106" s="62"/>
      <c r="E106" s="62"/>
      <c r="F106" s="63"/>
      <c r="G106" s="64"/>
      <c r="H106" s="29"/>
      <c r="I106" s="65"/>
      <c r="J106" s="65"/>
      <c r="L106" s="283"/>
      <c r="M106" s="283"/>
      <c r="N106" s="283"/>
      <c r="O106" s="283"/>
    </row>
    <row r="107" spans="2:16" x14ac:dyDescent="0.25">
      <c r="C107" s="91" t="s">
        <v>47</v>
      </c>
      <c r="D107" s="62"/>
      <c r="E107" s="62"/>
      <c r="F107" s="63"/>
      <c r="G107" s="71"/>
      <c r="H107" s="72"/>
      <c r="I107" s="73"/>
      <c r="J107" s="73"/>
      <c r="K107" s="343"/>
      <c r="L107" s="291">
        <f>SUM(L95:L104)</f>
        <v>1236.1146393833335</v>
      </c>
      <c r="M107" s="291">
        <f t="shared" ref="M107:P107" si="24">SUM(M95:M104)</f>
        <v>1441.4864008253332</v>
      </c>
      <c r="N107" s="291">
        <f t="shared" si="24"/>
        <v>1678.7473997062134</v>
      </c>
      <c r="O107" s="291">
        <f t="shared" si="24"/>
        <v>1945.434330877071</v>
      </c>
      <c r="P107" s="291">
        <f t="shared" si="24"/>
        <v>2237.1232008391212</v>
      </c>
    </row>
    <row r="108" spans="2:16" x14ac:dyDescent="0.25">
      <c r="B108" s="109"/>
      <c r="C108" s="90"/>
      <c r="D108" s="62"/>
      <c r="E108" s="62"/>
      <c r="F108" s="63"/>
      <c r="G108" s="64"/>
      <c r="H108" s="29"/>
      <c r="I108" s="65"/>
      <c r="J108" s="65"/>
      <c r="L108" s="283"/>
      <c r="M108" s="283"/>
      <c r="N108" s="283"/>
      <c r="O108" s="283"/>
    </row>
    <row r="109" spans="2:16" x14ac:dyDescent="0.25">
      <c r="B109" s="54"/>
      <c r="C109" s="54"/>
      <c r="D109" s="54"/>
      <c r="E109" s="54"/>
      <c r="F109" s="55"/>
      <c r="G109" s="55"/>
      <c r="H109" s="54"/>
      <c r="I109" s="54"/>
      <c r="J109" s="54"/>
      <c r="K109" s="340"/>
      <c r="L109" s="293"/>
      <c r="M109" s="293"/>
      <c r="N109" s="293"/>
      <c r="O109" s="293"/>
      <c r="P109" s="293"/>
    </row>
    <row r="110" spans="2:16" x14ac:dyDescent="0.25">
      <c r="L110" s="283"/>
      <c r="M110" s="283"/>
      <c r="N110" s="283"/>
      <c r="O110" s="283"/>
      <c r="P110" s="283"/>
    </row>
    <row r="111" spans="2:16" x14ac:dyDescent="0.25">
      <c r="L111" s="283"/>
      <c r="M111" s="283"/>
      <c r="N111" s="283"/>
      <c r="O111" s="283"/>
      <c r="P111" s="276" t="str">
        <f>$P$1</f>
        <v>CURRENTLY RUNNING: BASE CASE SCENARIO</v>
      </c>
    </row>
    <row r="112" spans="2:16" x14ac:dyDescent="0.25">
      <c r="L112" s="283"/>
      <c r="M112" s="283"/>
      <c r="N112" s="283"/>
      <c r="O112" s="283"/>
      <c r="P112" s="283"/>
    </row>
    <row r="113" spans="1:16" ht="22.8" x14ac:dyDescent="0.4">
      <c r="A113" s="20"/>
      <c r="B113" s="21" t="str">
        <f>Assumptions!$C$2</f>
        <v>ASML</v>
      </c>
      <c r="C113" s="17"/>
      <c r="D113" s="17"/>
      <c r="E113" s="17"/>
      <c r="F113" s="18"/>
      <c r="G113" s="18"/>
      <c r="H113" s="17"/>
      <c r="I113" s="17"/>
      <c r="J113" s="17"/>
      <c r="K113" s="326"/>
      <c r="L113" s="294"/>
      <c r="M113" s="294"/>
      <c r="N113" s="294"/>
      <c r="O113" s="294"/>
      <c r="P113" s="294"/>
    </row>
    <row r="114" spans="1:16" ht="17.399999999999999" x14ac:dyDescent="0.3">
      <c r="A114" s="22"/>
      <c r="B114" s="23" t="s">
        <v>76</v>
      </c>
      <c r="C114" s="24"/>
      <c r="D114" s="24"/>
      <c r="E114" s="24"/>
      <c r="F114" s="25"/>
      <c r="G114" s="25"/>
      <c r="H114" s="24"/>
      <c r="I114" s="24"/>
      <c r="J114" s="24"/>
      <c r="K114" s="327"/>
      <c r="L114" s="295"/>
      <c r="M114" s="295"/>
      <c r="N114" s="295"/>
      <c r="O114" s="295"/>
      <c r="P114" s="295"/>
    </row>
    <row r="115" spans="1:16" ht="18" thickBot="1" x14ac:dyDescent="0.35">
      <c r="A115" s="22"/>
      <c r="B115" s="26"/>
      <c r="C115" s="27"/>
      <c r="D115" s="27"/>
      <c r="E115" s="27"/>
      <c r="F115" s="28"/>
      <c r="G115" s="28"/>
      <c r="H115" s="27"/>
      <c r="I115" s="27"/>
      <c r="J115" s="27"/>
      <c r="K115" s="328"/>
      <c r="L115" s="296"/>
      <c r="M115" s="296"/>
      <c r="N115" s="296"/>
      <c r="O115" s="296"/>
      <c r="P115" s="296"/>
    </row>
    <row r="116" spans="1:16" ht="17.399999999999999" x14ac:dyDescent="0.3">
      <c r="A116" s="23"/>
      <c r="B116" s="533" t="s">
        <v>319</v>
      </c>
      <c r="C116" s="24"/>
      <c r="D116" s="24"/>
      <c r="E116" s="24"/>
      <c r="F116" s="25"/>
      <c r="G116" s="25"/>
      <c r="H116" s="24"/>
      <c r="I116" s="24"/>
      <c r="J116" s="24"/>
      <c r="K116" s="327"/>
      <c r="L116" s="295"/>
      <c r="M116" s="295"/>
      <c r="N116" s="295"/>
      <c r="O116" s="295"/>
      <c r="P116" s="295"/>
    </row>
    <row r="117" spans="1:16" x14ac:dyDescent="0.25">
      <c r="F117" s="30"/>
      <c r="G117" s="31"/>
      <c r="L117" s="297" t="s">
        <v>1</v>
      </c>
      <c r="M117" s="298"/>
      <c r="N117" s="298"/>
      <c r="O117" s="298"/>
      <c r="P117" s="298"/>
    </row>
    <row r="118" spans="1:16" x14ac:dyDescent="0.25">
      <c r="F118" s="30"/>
      <c r="G118" s="32"/>
      <c r="H118" s="32"/>
      <c r="I118" s="32"/>
      <c r="J118" s="32"/>
      <c r="K118" s="14"/>
      <c r="L118" s="316">
        <f t="shared" ref="L118:P118" si="25">L$7</f>
        <v>2025</v>
      </c>
      <c r="M118" s="316">
        <f t="shared" si="25"/>
        <v>2026</v>
      </c>
      <c r="N118" s="316">
        <f t="shared" si="25"/>
        <v>2027</v>
      </c>
      <c r="O118" s="316">
        <f t="shared" si="25"/>
        <v>2028</v>
      </c>
      <c r="P118" s="316">
        <f t="shared" si="25"/>
        <v>2029</v>
      </c>
    </row>
    <row r="119" spans="1:16" x14ac:dyDescent="0.25">
      <c r="F119" s="30"/>
      <c r="G119" s="30"/>
      <c r="I119" s="35"/>
      <c r="J119" s="35"/>
      <c r="K119" s="2"/>
      <c r="L119" s="283"/>
      <c r="M119" s="283"/>
      <c r="N119" s="283"/>
      <c r="O119" s="283"/>
      <c r="P119" s="283"/>
    </row>
    <row r="120" spans="1:16" x14ac:dyDescent="0.25">
      <c r="B120" s="110" t="s">
        <v>25</v>
      </c>
      <c r="C120" s="72"/>
      <c r="D120" s="111">
        <f>Assumptions!Q18</f>
        <v>0.16</v>
      </c>
      <c r="E120" s="112"/>
      <c r="G120" s="113"/>
      <c r="H120" s="113"/>
      <c r="I120" s="113"/>
      <c r="J120" s="35"/>
      <c r="K120" s="2"/>
      <c r="L120" s="283"/>
      <c r="M120" s="283"/>
      <c r="N120" s="283"/>
      <c r="O120" s="283"/>
      <c r="P120" s="283"/>
    </row>
    <row r="121" spans="1:16" x14ac:dyDescent="0.25">
      <c r="B121" s="34"/>
      <c r="D121" s="114"/>
      <c r="E121" s="112"/>
      <c r="G121" s="113"/>
      <c r="H121" s="113"/>
      <c r="I121" s="113"/>
      <c r="J121" s="39"/>
      <c r="K121" s="5"/>
      <c r="L121" s="287"/>
      <c r="M121" s="287"/>
      <c r="N121" s="287"/>
      <c r="O121" s="287"/>
      <c r="P121" s="287"/>
    </row>
    <row r="122" spans="1:16" x14ac:dyDescent="0.25">
      <c r="E122" s="112"/>
      <c r="J122" s="42"/>
      <c r="K122" s="6"/>
      <c r="L122" s="287"/>
      <c r="M122" s="284"/>
      <c r="N122" s="284"/>
      <c r="O122" s="284"/>
      <c r="P122" s="284"/>
    </row>
    <row r="123" spans="1:16" x14ac:dyDescent="0.25">
      <c r="C123" s="36" t="s">
        <v>77</v>
      </c>
      <c r="E123" s="112"/>
      <c r="G123" s="115" t="s">
        <v>78</v>
      </c>
      <c r="H123" s="116"/>
      <c r="I123" s="116"/>
      <c r="J123" s="44"/>
      <c r="K123" s="7"/>
      <c r="L123" s="364">
        <f>L276</f>
        <v>11111.455740350002</v>
      </c>
      <c r="M123" s="364">
        <f t="shared" ref="M123:P123" si="26">M276</f>
        <v>12925.350742737668</v>
      </c>
      <c r="N123" s="364">
        <f t="shared" si="26"/>
        <v>14929.07849153803</v>
      </c>
      <c r="O123" s="364">
        <f t="shared" si="26"/>
        <v>16527.278761698442</v>
      </c>
      <c r="P123" s="364">
        <f t="shared" si="26"/>
        <v>18042.818665630231</v>
      </c>
    </row>
    <row r="124" spans="1:16" x14ac:dyDescent="0.25">
      <c r="D124" s="117"/>
      <c r="E124" s="118"/>
      <c r="G124" s="119"/>
      <c r="H124" s="119"/>
      <c r="I124" s="119"/>
      <c r="J124" s="47"/>
      <c r="K124" s="9"/>
      <c r="L124" s="359"/>
      <c r="M124" s="359"/>
      <c r="N124" s="359"/>
      <c r="O124" s="359"/>
      <c r="P124" s="359"/>
    </row>
    <row r="125" spans="1:16" x14ac:dyDescent="0.25">
      <c r="C125" s="19" t="s">
        <v>220</v>
      </c>
      <c r="E125" s="112"/>
      <c r="J125" s="65"/>
      <c r="K125" s="344"/>
      <c r="L125" s="347">
        <f>Assumptions!M58*L123</f>
        <v>222.22911480700006</v>
      </c>
      <c r="M125" s="347">
        <f>Assumptions!N58*M123</f>
        <v>258.50701485475338</v>
      </c>
      <c r="N125" s="347">
        <f>Assumptions!O58*N123</f>
        <v>298.5815698307606</v>
      </c>
      <c r="O125" s="347">
        <f>Assumptions!P58*O123</f>
        <v>330.54557523396886</v>
      </c>
      <c r="P125" s="347">
        <f>Assumptions!Q58*P123</f>
        <v>360.85637331260466</v>
      </c>
    </row>
    <row r="126" spans="1:16" x14ac:dyDescent="0.25">
      <c r="C126" s="36" t="s">
        <v>79</v>
      </c>
      <c r="E126" s="118"/>
      <c r="G126" s="115" t="s">
        <v>80</v>
      </c>
      <c r="H126" s="120"/>
      <c r="I126" s="120"/>
      <c r="J126" s="50"/>
      <c r="K126" s="11"/>
      <c r="L126" s="360">
        <f>L123-L125</f>
        <v>10889.226625543002</v>
      </c>
      <c r="M126" s="360">
        <f t="shared" ref="M126:P126" si="27">M123-M125</f>
        <v>12666.843727882915</v>
      </c>
      <c r="N126" s="360">
        <f t="shared" si="27"/>
        <v>14630.496921707268</v>
      </c>
      <c r="O126" s="360">
        <f t="shared" si="27"/>
        <v>16196.733186464473</v>
      </c>
      <c r="P126" s="360">
        <f t="shared" si="27"/>
        <v>17681.962292317628</v>
      </c>
    </row>
    <row r="127" spans="1:16" x14ac:dyDescent="0.25">
      <c r="D127" s="34"/>
      <c r="E127" s="112"/>
      <c r="G127" s="116"/>
      <c r="H127" s="116"/>
      <c r="I127" s="116"/>
      <c r="L127" s="359"/>
      <c r="M127" s="359"/>
      <c r="N127" s="359"/>
      <c r="O127" s="359"/>
      <c r="P127" s="359"/>
    </row>
    <row r="128" spans="1:16" x14ac:dyDescent="0.25">
      <c r="C128" s="43" t="str">
        <f>CONCATENATE("Accounting Taxes (",$D$120*100,"% of A)")</f>
        <v>Accounting Taxes (16% of A)</v>
      </c>
      <c r="D128" s="117"/>
      <c r="E128" s="121"/>
      <c r="F128" s="119"/>
      <c r="G128" s="116"/>
      <c r="H128" s="116"/>
      <c r="I128" s="116"/>
      <c r="J128" s="40"/>
      <c r="K128" s="5"/>
      <c r="L128" s="347">
        <f>$D$120*L123</f>
        <v>1777.8329184560005</v>
      </c>
      <c r="M128" s="347">
        <f t="shared" ref="M128:P128" si="28">$D$120*M123</f>
        <v>2068.056118838027</v>
      </c>
      <c r="N128" s="347">
        <f t="shared" si="28"/>
        <v>2388.6525586460848</v>
      </c>
      <c r="O128" s="347">
        <f t="shared" si="28"/>
        <v>2644.3646018717509</v>
      </c>
      <c r="P128" s="347">
        <f t="shared" si="28"/>
        <v>2886.8509865008373</v>
      </c>
    </row>
    <row r="129" spans="1:16" x14ac:dyDescent="0.25">
      <c r="E129" s="122"/>
      <c r="G129" s="116"/>
      <c r="H129" s="116"/>
      <c r="I129" s="116"/>
      <c r="L129" s="283"/>
      <c r="M129" s="283"/>
      <c r="N129" s="283"/>
      <c r="O129" s="283"/>
      <c r="P129" s="283"/>
    </row>
    <row r="130" spans="1:16" x14ac:dyDescent="0.25">
      <c r="C130" s="92" t="s">
        <v>81</v>
      </c>
      <c r="D130" s="123"/>
      <c r="E130" s="124"/>
      <c r="F130" s="125"/>
      <c r="G130" s="125"/>
      <c r="H130" s="125"/>
      <c r="I130" s="125"/>
      <c r="J130" s="78"/>
      <c r="K130" s="345"/>
      <c r="L130" s="302"/>
      <c r="M130" s="302"/>
      <c r="N130" s="302"/>
      <c r="O130" s="302"/>
      <c r="P130" s="303"/>
    </row>
    <row r="131" spans="1:16" x14ac:dyDescent="0.25">
      <c r="C131" s="93" t="str">
        <f>CONCATENATE("Current Tax (",$D$120*100,"% of B)")</f>
        <v>Current Tax (16% of B)</v>
      </c>
      <c r="D131" s="117"/>
      <c r="E131" s="121"/>
      <c r="F131" s="126"/>
      <c r="G131" s="116"/>
      <c r="H131" s="116"/>
      <c r="I131" s="116"/>
      <c r="L131" s="347">
        <f>$D$120*L126</f>
        <v>1742.2762600868805</v>
      </c>
      <c r="M131" s="347">
        <f t="shared" ref="M131:P131" si="29">$D$120*M126</f>
        <v>2026.6949964612666</v>
      </c>
      <c r="N131" s="347">
        <f t="shared" si="29"/>
        <v>2340.8795074731629</v>
      </c>
      <c r="O131" s="347">
        <f t="shared" si="29"/>
        <v>2591.4773098343157</v>
      </c>
      <c r="P131" s="361">
        <f t="shared" si="29"/>
        <v>2829.1139667708208</v>
      </c>
    </row>
    <row r="132" spans="1:16" x14ac:dyDescent="0.25">
      <c r="C132" s="94" t="s">
        <v>82</v>
      </c>
      <c r="D132" s="117"/>
      <c r="E132" s="121"/>
      <c r="F132" s="119"/>
      <c r="G132" s="116"/>
      <c r="H132" s="116"/>
      <c r="I132" s="116"/>
      <c r="L132" s="347">
        <f>L128-L131</f>
        <v>35.556658369119987</v>
      </c>
      <c r="M132" s="347">
        <f t="shared" ref="M132:P132" si="30">M128-M131</f>
        <v>41.361122376760477</v>
      </c>
      <c r="N132" s="347">
        <f t="shared" si="30"/>
        <v>47.773051172921896</v>
      </c>
      <c r="O132" s="347">
        <f t="shared" si="30"/>
        <v>52.887292037435145</v>
      </c>
      <c r="P132" s="361">
        <f t="shared" si="30"/>
        <v>57.737019730016527</v>
      </c>
    </row>
    <row r="133" spans="1:16" x14ac:dyDescent="0.25">
      <c r="C133" s="95" t="s">
        <v>83</v>
      </c>
      <c r="D133" s="127"/>
      <c r="E133" s="128"/>
      <c r="F133" s="129"/>
      <c r="G133" s="130"/>
      <c r="H133" s="130"/>
      <c r="I133" s="130"/>
      <c r="J133" s="54"/>
      <c r="K133" s="340"/>
      <c r="L133" s="362">
        <f>SUM(L131:L132)</f>
        <v>1777.8329184560005</v>
      </c>
      <c r="M133" s="362">
        <f t="shared" ref="M133:P133" si="31">SUM(M131:M132)</f>
        <v>2068.056118838027</v>
      </c>
      <c r="N133" s="362">
        <f t="shared" si="31"/>
        <v>2388.6525586460848</v>
      </c>
      <c r="O133" s="362">
        <f t="shared" si="31"/>
        <v>2644.3646018717509</v>
      </c>
      <c r="P133" s="363">
        <f t="shared" si="31"/>
        <v>2886.8509865008373</v>
      </c>
    </row>
    <row r="134" spans="1:16" x14ac:dyDescent="0.25">
      <c r="L134" s="283"/>
      <c r="M134" s="283"/>
      <c r="N134" s="283"/>
      <c r="O134" s="283"/>
      <c r="P134" s="283"/>
    </row>
    <row r="135" spans="1:16" x14ac:dyDescent="0.25">
      <c r="L135" s="283"/>
      <c r="M135" s="283"/>
      <c r="N135" s="283"/>
      <c r="O135" s="283"/>
      <c r="P135" s="283"/>
    </row>
    <row r="136" spans="1:16" x14ac:dyDescent="0.25">
      <c r="L136" s="283"/>
      <c r="M136" s="283"/>
      <c r="N136" s="283"/>
      <c r="O136" s="283"/>
      <c r="P136" s="283"/>
    </row>
    <row r="137" spans="1:16" x14ac:dyDescent="0.25">
      <c r="L137" s="283"/>
      <c r="M137" s="283"/>
      <c r="N137" s="283"/>
      <c r="O137" s="283"/>
      <c r="P137" s="276" t="str">
        <f>$P$1</f>
        <v>CURRENTLY RUNNING: BASE CASE SCENARIO</v>
      </c>
    </row>
    <row r="138" spans="1:16" ht="22.8" x14ac:dyDescent="0.4">
      <c r="A138" s="20"/>
      <c r="B138" s="21" t="str">
        <f>Assumptions!$C$2</f>
        <v>ASML</v>
      </c>
      <c r="C138" s="17"/>
      <c r="D138" s="17"/>
      <c r="E138" s="17"/>
      <c r="F138" s="18"/>
      <c r="G138" s="18"/>
      <c r="H138" s="17"/>
      <c r="I138" s="17"/>
      <c r="J138" s="17"/>
      <c r="K138" s="326"/>
      <c r="L138" s="294"/>
      <c r="M138" s="294"/>
      <c r="N138" s="294"/>
      <c r="O138" s="294"/>
      <c r="P138" s="294"/>
    </row>
    <row r="139" spans="1:16" ht="17.399999999999999" x14ac:dyDescent="0.3">
      <c r="A139" s="22"/>
      <c r="B139" s="23" t="s">
        <v>14</v>
      </c>
      <c r="C139" s="24"/>
      <c r="D139" s="24"/>
      <c r="E139" s="24"/>
      <c r="F139" s="25"/>
      <c r="G139" s="25"/>
      <c r="H139" s="24"/>
      <c r="I139" s="24"/>
      <c r="J139" s="24"/>
      <c r="K139" s="327"/>
      <c r="L139" s="295"/>
      <c r="M139" s="295"/>
      <c r="N139" s="295"/>
      <c r="O139" s="295"/>
      <c r="P139" s="295"/>
    </row>
    <row r="140" spans="1:16" ht="18" thickBot="1" x14ac:dyDescent="0.35">
      <c r="A140" s="22"/>
      <c r="B140" s="26"/>
      <c r="C140" s="27"/>
      <c r="D140" s="27"/>
      <c r="E140" s="27"/>
      <c r="F140" s="28"/>
      <c r="G140" s="28"/>
      <c r="H140" s="27"/>
      <c r="I140" s="27"/>
      <c r="J140" s="27"/>
      <c r="K140" s="328"/>
      <c r="L140" s="296"/>
      <c r="M140" s="296"/>
      <c r="N140" s="296"/>
      <c r="O140" s="296"/>
      <c r="P140" s="296"/>
    </row>
    <row r="141" spans="1:16" ht="17.399999999999999" x14ac:dyDescent="0.3">
      <c r="A141" s="23"/>
      <c r="B141" s="533" t="s">
        <v>319</v>
      </c>
      <c r="C141" s="24"/>
      <c r="D141" s="24"/>
      <c r="E141" s="24"/>
      <c r="F141" s="25"/>
      <c r="G141" s="25"/>
      <c r="H141" s="24"/>
      <c r="I141" s="24"/>
      <c r="J141" s="24"/>
      <c r="K141" s="327"/>
      <c r="L141" s="295"/>
      <c r="M141" s="295"/>
      <c r="N141" s="295"/>
      <c r="O141" s="295"/>
      <c r="P141" s="295"/>
    </row>
    <row r="142" spans="1:16" x14ac:dyDescent="0.25">
      <c r="F142" s="30"/>
      <c r="G142" s="31"/>
      <c r="L142" s="297" t="s">
        <v>1</v>
      </c>
      <c r="M142" s="298"/>
      <c r="N142" s="298"/>
      <c r="O142" s="298"/>
      <c r="P142" s="298"/>
    </row>
    <row r="143" spans="1:16" x14ac:dyDescent="0.25">
      <c r="F143" s="30"/>
      <c r="G143" s="32">
        <f>G$7</f>
        <v>2020</v>
      </c>
      <c r="H143" s="32">
        <f t="shared" ref="H143:P143" si="32">H$7</f>
        <v>2021</v>
      </c>
      <c r="I143" s="32">
        <f t="shared" si="32"/>
        <v>2022</v>
      </c>
      <c r="J143" s="32">
        <f t="shared" si="32"/>
        <v>2023</v>
      </c>
      <c r="K143" s="14">
        <f t="shared" si="32"/>
        <v>2024</v>
      </c>
      <c r="L143" s="316">
        <f t="shared" si="32"/>
        <v>2025</v>
      </c>
      <c r="M143" s="316">
        <f t="shared" si="32"/>
        <v>2026</v>
      </c>
      <c r="N143" s="316">
        <f t="shared" si="32"/>
        <v>2027</v>
      </c>
      <c r="O143" s="316">
        <f t="shared" si="32"/>
        <v>2028</v>
      </c>
      <c r="P143" s="316">
        <f t="shared" si="32"/>
        <v>2029</v>
      </c>
    </row>
    <row r="144" spans="1:16" x14ac:dyDescent="0.25">
      <c r="F144" s="30"/>
      <c r="G144" s="32"/>
      <c r="H144" s="32"/>
      <c r="I144" s="32"/>
      <c r="J144" s="32"/>
      <c r="K144" s="14"/>
      <c r="L144" s="299"/>
      <c r="M144" s="299"/>
      <c r="N144" s="299"/>
      <c r="O144" s="299"/>
      <c r="P144" s="299"/>
    </row>
    <row r="145" spans="2:16" x14ac:dyDescent="0.25">
      <c r="B145" s="96" t="s">
        <v>48</v>
      </c>
      <c r="C145" s="96"/>
      <c r="D145" s="96"/>
      <c r="E145" s="96"/>
      <c r="F145" s="75"/>
      <c r="G145" s="76"/>
      <c r="H145" s="325">
        <f>DATE(H143,12,31)-DATE(G143,12,31)</f>
        <v>365</v>
      </c>
      <c r="I145" s="325">
        <f t="shared" ref="I145:P145" si="33">DATE(I143,12,31)-DATE(H143,12,31)</f>
        <v>365</v>
      </c>
      <c r="J145" s="325">
        <f t="shared" si="33"/>
        <v>365</v>
      </c>
      <c r="K145" s="346">
        <f t="shared" si="33"/>
        <v>366</v>
      </c>
      <c r="L145" s="325">
        <f t="shared" si="33"/>
        <v>365</v>
      </c>
      <c r="M145" s="325">
        <f t="shared" si="33"/>
        <v>365</v>
      </c>
      <c r="N145" s="325">
        <f t="shared" si="33"/>
        <v>365</v>
      </c>
      <c r="O145" s="325">
        <f t="shared" si="33"/>
        <v>366</v>
      </c>
      <c r="P145" s="325">
        <f t="shared" si="33"/>
        <v>365</v>
      </c>
    </row>
    <row r="146" spans="2:16" x14ac:dyDescent="0.25">
      <c r="F146" s="30"/>
      <c r="G146" s="32"/>
      <c r="H146" s="32"/>
      <c r="I146" s="32"/>
      <c r="J146" s="32"/>
      <c r="K146" s="14"/>
      <c r="L146" s="299"/>
      <c r="M146" s="299"/>
      <c r="N146" s="299"/>
      <c r="O146" s="299"/>
      <c r="P146" s="299"/>
    </row>
    <row r="147" spans="2:16" x14ac:dyDescent="0.25">
      <c r="B147" s="34" t="s">
        <v>49</v>
      </c>
      <c r="F147" s="30"/>
      <c r="G147" s="32"/>
      <c r="H147" s="32"/>
      <c r="I147" s="32"/>
      <c r="J147" s="32"/>
      <c r="K147" s="14"/>
      <c r="L147" s="299"/>
      <c r="M147" s="299"/>
      <c r="N147" s="299"/>
      <c r="O147" s="299"/>
      <c r="P147" s="299"/>
    </row>
    <row r="148" spans="2:16" x14ac:dyDescent="0.25">
      <c r="C148" s="19" t="s">
        <v>6</v>
      </c>
      <c r="F148" s="30"/>
      <c r="G148" s="159"/>
      <c r="H148" s="322">
        <f>H261</f>
        <v>18611</v>
      </c>
      <c r="I148" s="322">
        <f t="shared" ref="I148:K148" si="34">I261</f>
        <v>21173.4</v>
      </c>
      <c r="J148" s="322">
        <f t="shared" si="34"/>
        <v>27558.5</v>
      </c>
      <c r="K148" s="347">
        <f t="shared" si="34"/>
        <v>28262.9</v>
      </c>
      <c r="L148" s="304">
        <f>L70</f>
        <v>31660.43535</v>
      </c>
      <c r="M148" s="304">
        <f t="shared" ref="M148:P148" si="35">M70</f>
        <v>36796.818463999996</v>
      </c>
      <c r="N148" s="304">
        <f t="shared" si="35"/>
        <v>42290.181162959998</v>
      </c>
      <c r="O148" s="304">
        <f t="shared" si="35"/>
        <v>46605.462560659202</v>
      </c>
      <c r="P148" s="304">
        <f t="shared" si="35"/>
        <v>50624.160760024286</v>
      </c>
    </row>
    <row r="149" spans="2:16" x14ac:dyDescent="0.25">
      <c r="C149" s="19" t="s">
        <v>50</v>
      </c>
      <c r="F149" s="30"/>
      <c r="G149" s="159"/>
      <c r="H149" s="322">
        <f>-H265</f>
        <v>9193.6</v>
      </c>
      <c r="I149" s="322">
        <f t="shared" ref="I149:K149" si="36">-I265</f>
        <v>10660.7</v>
      </c>
      <c r="J149" s="322">
        <f t="shared" si="36"/>
        <v>13784.1</v>
      </c>
      <c r="K149" s="347">
        <f t="shared" si="36"/>
        <v>13979.1</v>
      </c>
      <c r="L149" s="304">
        <f>L74</f>
        <v>15957.587242499998</v>
      </c>
      <c r="M149" s="304">
        <f t="shared" ref="M149:P149" si="37">M74</f>
        <v>18552.8996912</v>
      </c>
      <c r="N149" s="304">
        <f t="shared" si="37"/>
        <v>21330.009624587998</v>
      </c>
      <c r="O149" s="304">
        <f t="shared" si="37"/>
        <v>23514.574291968962</v>
      </c>
      <c r="P149" s="304">
        <f t="shared" si="37"/>
        <v>25550.873591144333</v>
      </c>
    </row>
    <row r="150" spans="2:16" x14ac:dyDescent="0.25">
      <c r="F150" s="30"/>
      <c r="G150" s="159"/>
      <c r="H150" s="323"/>
      <c r="I150" s="323"/>
      <c r="J150" s="323"/>
      <c r="K150" s="305"/>
      <c r="L150" s="305"/>
      <c r="M150" s="305"/>
      <c r="N150" s="305"/>
      <c r="O150" s="305"/>
      <c r="P150" s="305"/>
    </row>
    <row r="151" spans="2:16" x14ac:dyDescent="0.25">
      <c r="B151" s="131" t="s">
        <v>51</v>
      </c>
      <c r="C151" s="97"/>
      <c r="E151" s="86"/>
      <c r="F151" s="30"/>
      <c r="G151" s="159"/>
      <c r="H151" s="323"/>
      <c r="I151" s="323"/>
      <c r="J151" s="323"/>
      <c r="K151" s="305"/>
      <c r="L151" s="305"/>
      <c r="M151" s="305"/>
      <c r="N151" s="305"/>
      <c r="O151" s="305"/>
      <c r="P151" s="305"/>
    </row>
    <row r="152" spans="2:16" x14ac:dyDescent="0.25">
      <c r="B152" s="85"/>
      <c r="C152" s="19" t="s">
        <v>15</v>
      </c>
      <c r="F152" s="30"/>
      <c r="G152" s="159"/>
      <c r="H152" s="322">
        <f>H161/H148*H145</f>
        <v>59.385309763043367</v>
      </c>
      <c r="I152" s="322">
        <f t="shared" ref="I152:K152" si="38">I161/I148*I145</f>
        <v>91.774915696109261</v>
      </c>
      <c r="J152" s="322">
        <f t="shared" si="38"/>
        <v>57.403214979044584</v>
      </c>
      <c r="K152" s="347">
        <f t="shared" si="38"/>
        <v>57.982903382172388</v>
      </c>
      <c r="L152" s="271">
        <f>Assumptions!M36</f>
        <v>60</v>
      </c>
      <c r="M152" s="271">
        <f>Assumptions!N36</f>
        <v>60</v>
      </c>
      <c r="N152" s="271">
        <f>Assumptions!O36</f>
        <v>59</v>
      </c>
      <c r="O152" s="271">
        <f>Assumptions!P36</f>
        <v>59</v>
      </c>
      <c r="P152" s="271">
        <f>Assumptions!Q36</f>
        <v>58</v>
      </c>
    </row>
    <row r="153" spans="2:16" x14ac:dyDescent="0.25">
      <c r="B153" s="85"/>
      <c r="C153" s="19" t="s">
        <v>52</v>
      </c>
      <c r="F153" s="30"/>
      <c r="G153" s="159"/>
      <c r="H153" s="322">
        <f>H162/H149*H145</f>
        <v>205.62217194570135</v>
      </c>
      <c r="I153" s="322">
        <f t="shared" ref="I153:K153" si="39">I162/I149*I145</f>
        <v>246.50262177905762</v>
      </c>
      <c r="J153" s="322">
        <f t="shared" si="39"/>
        <v>234.36463026240381</v>
      </c>
      <c r="K153" s="347">
        <f t="shared" si="39"/>
        <v>285.16063265875488</v>
      </c>
      <c r="L153" s="271">
        <f>Assumptions!M37</f>
        <v>280</v>
      </c>
      <c r="M153" s="271">
        <f>Assumptions!N37</f>
        <v>275</v>
      </c>
      <c r="N153" s="271">
        <f>Assumptions!O37</f>
        <v>270</v>
      </c>
      <c r="O153" s="271">
        <f>Assumptions!P37</f>
        <v>265</v>
      </c>
      <c r="P153" s="271">
        <f>Assumptions!Q37</f>
        <v>260</v>
      </c>
    </row>
    <row r="154" spans="2:16" x14ac:dyDescent="0.25">
      <c r="B154" s="85"/>
      <c r="C154" s="19" t="s">
        <v>114</v>
      </c>
      <c r="F154" s="30"/>
      <c r="G154" s="159"/>
      <c r="H154" s="322">
        <f>H163/H148*H145</f>
        <v>3.2281446456396754</v>
      </c>
      <c r="I154" s="322">
        <f t="shared" ref="I154:K154" si="40">I163/I148*I145</f>
        <v>2.2737727526046831</v>
      </c>
      <c r="J154" s="322">
        <f t="shared" si="40"/>
        <v>3.1800170546292428</v>
      </c>
      <c r="K154" s="347">
        <f t="shared" si="40"/>
        <v>4.1517183303907244</v>
      </c>
      <c r="L154" s="271">
        <f>Assumptions!M38</f>
        <v>4</v>
      </c>
      <c r="M154" s="271">
        <f>Assumptions!N38</f>
        <v>4</v>
      </c>
      <c r="N154" s="271">
        <f>Assumptions!O38</f>
        <v>4</v>
      </c>
      <c r="O154" s="271">
        <f>Assumptions!P38</f>
        <v>4</v>
      </c>
      <c r="P154" s="271">
        <f>Assumptions!Q38</f>
        <v>4</v>
      </c>
    </row>
    <row r="155" spans="2:16" x14ac:dyDescent="0.25">
      <c r="B155" s="85"/>
      <c r="C155" s="19" t="s">
        <v>166</v>
      </c>
      <c r="F155" s="30"/>
      <c r="G155" s="159"/>
      <c r="H155" s="322">
        <f>H164/H148*H145</f>
        <v>13.477405835258718</v>
      </c>
      <c r="I155" s="322">
        <f t="shared" ref="I155:K155" si="41">I164/I148*I145</f>
        <v>19.148648776294785</v>
      </c>
      <c r="J155" s="322">
        <f t="shared" si="41"/>
        <v>16.345102237059344</v>
      </c>
      <c r="K155" s="347">
        <f t="shared" si="41"/>
        <v>18.953384118402568</v>
      </c>
      <c r="L155" s="271">
        <f>Assumptions!M39</f>
        <v>18</v>
      </c>
      <c r="M155" s="271">
        <f>Assumptions!N39</f>
        <v>18</v>
      </c>
      <c r="N155" s="271">
        <f>Assumptions!O39</f>
        <v>18</v>
      </c>
      <c r="O155" s="271">
        <f>Assumptions!P39</f>
        <v>18</v>
      </c>
      <c r="P155" s="271">
        <f>Assumptions!Q39</f>
        <v>18</v>
      </c>
    </row>
    <row r="156" spans="2:16" x14ac:dyDescent="0.25">
      <c r="B156" s="85"/>
      <c r="C156" s="19" t="s">
        <v>16</v>
      </c>
      <c r="F156" s="30"/>
      <c r="G156" s="159"/>
      <c r="H156" s="322">
        <f>H165/H149*H145</f>
        <v>83.988589888618165</v>
      </c>
      <c r="I156" s="322">
        <f t="shared" ref="I156:K156" si="42">I165/I149*I145</f>
        <v>87.768861331807472</v>
      </c>
      <c r="J156" s="322">
        <f t="shared" si="42"/>
        <v>62.129518793392393</v>
      </c>
      <c r="K156" s="347">
        <f t="shared" si="42"/>
        <v>91.597527737837197</v>
      </c>
      <c r="L156" s="271">
        <f>Assumptions!M40</f>
        <v>90</v>
      </c>
      <c r="M156" s="271">
        <f>Assumptions!N40</f>
        <v>90</v>
      </c>
      <c r="N156" s="271">
        <f>Assumptions!O40</f>
        <v>92</v>
      </c>
      <c r="O156" s="271">
        <f>Assumptions!P40</f>
        <v>92</v>
      </c>
      <c r="P156" s="271">
        <f>Assumptions!Q40</f>
        <v>95</v>
      </c>
    </row>
    <row r="157" spans="2:16" x14ac:dyDescent="0.25">
      <c r="B157" s="85"/>
      <c r="C157" s="19" t="s">
        <v>128</v>
      </c>
      <c r="F157" s="37"/>
      <c r="G157" s="159"/>
      <c r="H157" s="322">
        <f>H166/H149*H145</f>
        <v>56.880384180299338</v>
      </c>
      <c r="I157" s="322">
        <f t="shared" ref="I157:K157" si="43">I166/I149*I145</f>
        <v>53.900728845197776</v>
      </c>
      <c r="J157" s="322">
        <f t="shared" si="43"/>
        <v>55.16798340116511</v>
      </c>
      <c r="K157" s="347">
        <f t="shared" si="43"/>
        <v>68.133270382213453</v>
      </c>
      <c r="L157" s="271">
        <f>Assumptions!M41</f>
        <v>65</v>
      </c>
      <c r="M157" s="271">
        <f>Assumptions!N41</f>
        <v>65</v>
      </c>
      <c r="N157" s="271">
        <f>Assumptions!O41</f>
        <v>65</v>
      </c>
      <c r="O157" s="271">
        <f>Assumptions!P41</f>
        <v>65</v>
      </c>
      <c r="P157" s="271">
        <f>Assumptions!Q41</f>
        <v>65</v>
      </c>
    </row>
    <row r="158" spans="2:16" x14ac:dyDescent="0.25">
      <c r="B158" s="85"/>
      <c r="C158" s="19" t="s">
        <v>129</v>
      </c>
      <c r="F158" s="37"/>
      <c r="G158" s="159"/>
      <c r="H158" s="322">
        <f>H167/H148*H145</f>
        <v>155.62559776476277</v>
      </c>
      <c r="I158" s="322">
        <f t="shared" ref="I158:K158" si="44">I167/I148*I145</f>
        <v>215.15510026731653</v>
      </c>
      <c r="J158" s="322">
        <f t="shared" si="44"/>
        <v>151.53092512292034</v>
      </c>
      <c r="K158" s="347">
        <f t="shared" si="44"/>
        <v>162.78983402269404</v>
      </c>
      <c r="L158" s="271">
        <f>Assumptions!M42</f>
        <v>170</v>
      </c>
      <c r="M158" s="271">
        <f>Assumptions!N42</f>
        <v>170</v>
      </c>
      <c r="N158" s="271">
        <f>Assumptions!O42</f>
        <v>165</v>
      </c>
      <c r="O158" s="271">
        <f>Assumptions!P42</f>
        <v>165</v>
      </c>
      <c r="P158" s="271">
        <f>Assumptions!Q42</f>
        <v>160</v>
      </c>
    </row>
    <row r="159" spans="2:16" x14ac:dyDescent="0.25">
      <c r="B159" s="85"/>
      <c r="C159" s="147"/>
      <c r="F159" s="37"/>
      <c r="G159" s="159"/>
      <c r="H159" s="323"/>
      <c r="I159" s="323"/>
      <c r="J159" s="323"/>
      <c r="K159" s="305"/>
      <c r="L159" s="305"/>
      <c r="M159" s="305"/>
      <c r="N159" s="305"/>
      <c r="O159" s="305"/>
      <c r="P159" s="305"/>
    </row>
    <row r="160" spans="2:16" x14ac:dyDescent="0.25">
      <c r="B160" s="131" t="s">
        <v>53</v>
      </c>
      <c r="C160" s="97"/>
      <c r="F160" s="37"/>
      <c r="G160" s="159"/>
      <c r="H160" s="323"/>
      <c r="I160" s="323"/>
      <c r="J160" s="323"/>
      <c r="K160" s="305"/>
      <c r="L160" s="305"/>
      <c r="M160" s="305"/>
      <c r="N160" s="305"/>
      <c r="O160" s="305"/>
      <c r="P160" s="305"/>
    </row>
    <row r="161" spans="1:17" x14ac:dyDescent="0.25">
      <c r="B161" s="85"/>
      <c r="C161" s="19" t="s">
        <v>15</v>
      </c>
      <c r="F161" s="37"/>
      <c r="G161" s="159"/>
      <c r="H161" s="322">
        <f>H343</f>
        <v>3028</v>
      </c>
      <c r="I161" s="322">
        <f t="shared" ref="I161:K161" si="45">I343</f>
        <v>5323.8</v>
      </c>
      <c r="J161" s="322">
        <f t="shared" si="45"/>
        <v>4334.1000000000004</v>
      </c>
      <c r="K161" s="347">
        <f t="shared" si="45"/>
        <v>4477.5</v>
      </c>
      <c r="L161" s="304">
        <f>L148/L145*L152</f>
        <v>5204.4551260273975</v>
      </c>
      <c r="M161" s="304">
        <f t="shared" ref="M161:P161" si="46">M148/M145*M152</f>
        <v>6048.7920762739723</v>
      </c>
      <c r="N161" s="304">
        <f t="shared" si="46"/>
        <v>6835.9470920949043</v>
      </c>
      <c r="O161" s="304">
        <f t="shared" si="46"/>
        <v>7512.9024346417837</v>
      </c>
      <c r="P161" s="304">
        <f t="shared" si="46"/>
        <v>8044.3871892641337</v>
      </c>
    </row>
    <row r="162" spans="1:17" x14ac:dyDescent="0.25">
      <c r="B162" s="85"/>
      <c r="C162" s="19" t="s">
        <v>52</v>
      </c>
      <c r="F162" s="37"/>
      <c r="G162" s="159"/>
      <c r="H162" s="322">
        <f>H345</f>
        <v>5179.2</v>
      </c>
      <c r="I162" s="322">
        <f t="shared" ref="I162:K162" si="47">I345</f>
        <v>7199.7</v>
      </c>
      <c r="J162" s="322">
        <f t="shared" si="47"/>
        <v>8850.7000000000007</v>
      </c>
      <c r="K162" s="347">
        <f t="shared" si="47"/>
        <v>10891.5</v>
      </c>
      <c r="L162" s="304">
        <f>L149/L145*L153</f>
        <v>12241.436788767121</v>
      </c>
      <c r="M162" s="304">
        <f t="shared" ref="M162:P162" si="48">M149/M145*M153</f>
        <v>13978.212096109588</v>
      </c>
      <c r="N162" s="304">
        <f t="shared" si="48"/>
        <v>15778.363283941806</v>
      </c>
      <c r="O162" s="304">
        <f t="shared" si="48"/>
        <v>17025.579746917418</v>
      </c>
      <c r="P162" s="304">
        <f t="shared" si="48"/>
        <v>18200.622284102814</v>
      </c>
    </row>
    <row r="163" spans="1:17" x14ac:dyDescent="0.25">
      <c r="B163" s="85"/>
      <c r="C163" s="19" t="s">
        <v>114</v>
      </c>
      <c r="F163" s="63"/>
      <c r="G163" s="159"/>
      <c r="H163" s="322">
        <f>H346</f>
        <v>164.6</v>
      </c>
      <c r="I163" s="322">
        <f t="shared" ref="I163:K163" si="49">I346</f>
        <v>131.9</v>
      </c>
      <c r="J163" s="322">
        <f t="shared" si="49"/>
        <v>240.1</v>
      </c>
      <c r="K163" s="347">
        <f t="shared" si="49"/>
        <v>320.60000000000002</v>
      </c>
      <c r="L163" s="304">
        <f>L148/L145*L154</f>
        <v>346.96367506849316</v>
      </c>
      <c r="M163" s="304">
        <f t="shared" ref="M163:P163" si="50">M148/M145*M154</f>
        <v>403.25280508493148</v>
      </c>
      <c r="N163" s="304">
        <f t="shared" si="50"/>
        <v>463.4540401420274</v>
      </c>
      <c r="O163" s="304">
        <f t="shared" si="50"/>
        <v>509.3493176028328</v>
      </c>
      <c r="P163" s="304">
        <f t="shared" si="50"/>
        <v>554.78532339752644</v>
      </c>
    </row>
    <row r="164" spans="1:17" x14ac:dyDescent="0.25">
      <c r="B164" s="85"/>
      <c r="C164" s="19" t="s">
        <v>166</v>
      </c>
      <c r="F164" s="46"/>
      <c r="G164" s="159"/>
      <c r="H164" s="322">
        <f>H347</f>
        <v>687.2</v>
      </c>
      <c r="I164" s="322">
        <f t="shared" ref="I164:K164" si="51">I347</f>
        <v>1110.8</v>
      </c>
      <c r="J164" s="322">
        <f t="shared" si="51"/>
        <v>1234.0999999999999</v>
      </c>
      <c r="K164" s="347">
        <f t="shared" si="51"/>
        <v>1463.6</v>
      </c>
      <c r="L164" s="304">
        <f>L148/L145*L155</f>
        <v>1561.3365378082192</v>
      </c>
      <c r="M164" s="304">
        <f t="shared" ref="M164:P164" si="52">M148/M145*M155</f>
        <v>1814.6376228821916</v>
      </c>
      <c r="N164" s="304">
        <f t="shared" si="52"/>
        <v>2085.5431806391234</v>
      </c>
      <c r="O164" s="304">
        <f t="shared" si="52"/>
        <v>2292.0719292127478</v>
      </c>
      <c r="P164" s="304">
        <f t="shared" si="52"/>
        <v>2496.533955288869</v>
      </c>
    </row>
    <row r="165" spans="1:17" x14ac:dyDescent="0.25">
      <c r="B165" s="85"/>
      <c r="C165" s="19" t="s">
        <v>16</v>
      </c>
      <c r="F165" s="46"/>
      <c r="G165" s="159"/>
      <c r="H165" s="322">
        <f>H367</f>
        <v>2115.5</v>
      </c>
      <c r="I165" s="322">
        <f t="shared" ref="I165:K165" si="53">I367</f>
        <v>2563.5</v>
      </c>
      <c r="J165" s="322">
        <f t="shared" si="53"/>
        <v>2346.3000000000002</v>
      </c>
      <c r="K165" s="347">
        <f t="shared" si="53"/>
        <v>3498.5</v>
      </c>
      <c r="L165" s="304">
        <f>L149/L145*L156</f>
        <v>3934.7475392465749</v>
      </c>
      <c r="M165" s="304">
        <f t="shared" ref="M165:P165" si="54">M149/M145*M156</f>
        <v>4574.6875950904105</v>
      </c>
      <c r="N165" s="304">
        <f t="shared" si="54"/>
        <v>5376.3311930468381</v>
      </c>
      <c r="O165" s="304">
        <f t="shared" si="54"/>
        <v>5910.7673083637819</v>
      </c>
      <c r="P165" s="304">
        <f t="shared" si="54"/>
        <v>6650.2273730375664</v>
      </c>
    </row>
    <row r="166" spans="1:17" x14ac:dyDescent="0.25">
      <c r="B166" s="85"/>
      <c r="C166" s="19" t="s">
        <v>128</v>
      </c>
      <c r="F166" s="37"/>
      <c r="G166" s="159"/>
      <c r="H166" s="322">
        <f>H368</f>
        <v>1432.7</v>
      </c>
      <c r="I166" s="322">
        <f t="shared" ref="I166:K166" si="55">I368</f>
        <v>1574.3</v>
      </c>
      <c r="J166" s="322">
        <f t="shared" si="55"/>
        <v>2083.4</v>
      </c>
      <c r="K166" s="347">
        <f t="shared" si="55"/>
        <v>2602.3000000000002</v>
      </c>
      <c r="L166" s="304">
        <f>L149/L145*L157</f>
        <v>2841.7621116780815</v>
      </c>
      <c r="M166" s="304">
        <f t="shared" ref="M166:P166" si="56">M149/M145*M157</f>
        <v>3303.94104089863</v>
      </c>
      <c r="N166" s="304">
        <f t="shared" si="56"/>
        <v>3798.4948646526573</v>
      </c>
      <c r="O166" s="304">
        <f t="shared" si="56"/>
        <v>4176.0855983004985</v>
      </c>
      <c r="P166" s="304">
        <f t="shared" si="56"/>
        <v>4550.1555710257035</v>
      </c>
    </row>
    <row r="167" spans="1:17" x14ac:dyDescent="0.25">
      <c r="B167" s="85"/>
      <c r="C167" s="19" t="s">
        <v>129</v>
      </c>
      <c r="F167" s="37"/>
      <c r="G167" s="159"/>
      <c r="H167" s="322">
        <f>H369</f>
        <v>7935.2</v>
      </c>
      <c r="I167" s="322">
        <f t="shared" ref="I167:K167" si="57">I369</f>
        <v>12481</v>
      </c>
      <c r="J167" s="322">
        <f t="shared" si="57"/>
        <v>11441</v>
      </c>
      <c r="K167" s="347">
        <f t="shared" si="57"/>
        <v>12570.8</v>
      </c>
      <c r="L167" s="289">
        <f>L148/L145*L158</f>
        <v>14745.95619041096</v>
      </c>
      <c r="M167" s="289">
        <f t="shared" ref="M167:P167" si="58">M148/M145*M158</f>
        <v>17138.24421610959</v>
      </c>
      <c r="N167" s="289">
        <f t="shared" si="58"/>
        <v>19117.479155858629</v>
      </c>
      <c r="O167" s="289">
        <f t="shared" si="58"/>
        <v>21010.659351116854</v>
      </c>
      <c r="P167" s="289">
        <f t="shared" si="58"/>
        <v>22191.412935901059</v>
      </c>
    </row>
    <row r="168" spans="1:17" x14ac:dyDescent="0.25">
      <c r="B168" s="85"/>
      <c r="C168" s="98" t="s">
        <v>54</v>
      </c>
      <c r="D168" s="34"/>
      <c r="E168" s="34"/>
      <c r="G168" s="159"/>
      <c r="H168" s="306">
        <f>SUM(H161:H164)-SUM(H165:H167)</f>
        <v>-2424.3999999999978</v>
      </c>
      <c r="I168" s="306">
        <f t="shared" ref="I168:K168" si="59">SUM(I161:I164)-SUM(I165:I167)</f>
        <v>-2852.6000000000004</v>
      </c>
      <c r="J168" s="306">
        <f t="shared" si="59"/>
        <v>-1211.6999999999989</v>
      </c>
      <c r="K168" s="306">
        <f t="shared" si="59"/>
        <v>-1518.3999999999978</v>
      </c>
      <c r="L168" s="306">
        <f t="shared" ref="L168" si="60">SUM(L161:L164)-SUM(L165:L167)</f>
        <v>-2168.2737136643809</v>
      </c>
      <c r="M168" s="306">
        <f t="shared" ref="M168" si="61">SUM(M161:M164)-SUM(M165:M167)</f>
        <v>-2771.9782517479471</v>
      </c>
      <c r="N168" s="306">
        <f t="shared" ref="N168" si="62">SUM(N161:N164)-SUM(N165:N167)</f>
        <v>-3128.9976167402638</v>
      </c>
      <c r="O168" s="306">
        <f t="shared" ref="O168" si="63">SUM(O161:O164)-SUM(O165:O167)</f>
        <v>-3757.6088294063557</v>
      </c>
      <c r="P168" s="306">
        <f t="shared" ref="P168" si="64">SUM(P161:P164)-SUM(P165:P167)</f>
        <v>-4095.4671279109825</v>
      </c>
      <c r="Q168" s="270"/>
    </row>
    <row r="169" spans="1:17" x14ac:dyDescent="0.25">
      <c r="B169" s="85"/>
      <c r="C169" s="97"/>
      <c r="H169" s="329"/>
      <c r="I169" s="329"/>
      <c r="J169" s="329"/>
    </row>
    <row r="170" spans="1:17" x14ac:dyDescent="0.25">
      <c r="B170" s="98" t="s">
        <v>55</v>
      </c>
      <c r="C170" s="85"/>
      <c r="F170" s="67"/>
      <c r="G170" s="67"/>
      <c r="H170" s="352"/>
      <c r="I170" s="348">
        <f>H168-I168</f>
        <v>428.20000000000255</v>
      </c>
      <c r="J170" s="348">
        <f t="shared" ref="J170:P170" si="65">I168-J168</f>
        <v>-1640.9000000000015</v>
      </c>
      <c r="K170" s="348">
        <f t="shared" si="65"/>
        <v>306.69999999999891</v>
      </c>
      <c r="L170" s="348">
        <f t="shared" si="65"/>
        <v>649.8737136643831</v>
      </c>
      <c r="M170" s="348">
        <f t="shared" si="65"/>
        <v>603.70453808356615</v>
      </c>
      <c r="N170" s="348">
        <f t="shared" si="65"/>
        <v>357.0193649923167</v>
      </c>
      <c r="O170" s="348">
        <f t="shared" si="65"/>
        <v>628.61121266609189</v>
      </c>
      <c r="P170" s="348">
        <f t="shared" si="65"/>
        <v>337.85829850462687</v>
      </c>
    </row>
    <row r="171" spans="1:17" x14ac:dyDescent="0.25">
      <c r="B171" s="98"/>
      <c r="C171" s="85"/>
      <c r="F171" s="55"/>
      <c r="G171" s="55"/>
      <c r="H171" s="54"/>
      <c r="I171" s="54"/>
      <c r="J171" s="54"/>
      <c r="K171" s="340"/>
      <c r="L171" s="293"/>
      <c r="M171" s="293"/>
      <c r="N171" s="293"/>
      <c r="O171" s="293"/>
      <c r="P171" s="293"/>
    </row>
    <row r="172" spans="1:17" x14ac:dyDescent="0.25">
      <c r="L172" s="283"/>
      <c r="M172" s="283"/>
      <c r="N172" s="283"/>
      <c r="O172" s="283"/>
      <c r="P172" s="283"/>
    </row>
    <row r="173" spans="1:17" x14ac:dyDescent="0.25">
      <c r="L173" s="283"/>
      <c r="M173" s="283"/>
      <c r="N173" s="283"/>
      <c r="O173" s="283"/>
      <c r="P173" s="276" t="str">
        <f>$P$1</f>
        <v>CURRENTLY RUNNING: BASE CASE SCENARIO</v>
      </c>
    </row>
    <row r="174" spans="1:17" ht="22.8" x14ac:dyDescent="0.4">
      <c r="A174" s="20"/>
      <c r="B174" s="21" t="str">
        <f>Assumptions!$C$2</f>
        <v>ASML</v>
      </c>
      <c r="C174" s="17"/>
      <c r="D174" s="17"/>
      <c r="E174" s="17"/>
      <c r="F174" s="18"/>
      <c r="G174" s="18"/>
      <c r="H174" s="17"/>
      <c r="I174" s="17"/>
      <c r="J174" s="17"/>
      <c r="K174" s="326"/>
      <c r="L174" s="294"/>
      <c r="M174" s="294"/>
      <c r="N174" s="294"/>
      <c r="O174" s="294"/>
      <c r="P174" s="294"/>
    </row>
    <row r="175" spans="1:17" ht="17.399999999999999" x14ac:dyDescent="0.3">
      <c r="A175" s="22"/>
      <c r="B175" s="23" t="s">
        <v>17</v>
      </c>
      <c r="C175" s="24"/>
      <c r="D175" s="24"/>
      <c r="E175" s="24"/>
      <c r="F175" s="25"/>
      <c r="G175" s="25"/>
      <c r="H175" s="24"/>
      <c r="I175" s="24"/>
      <c r="J175" s="24"/>
      <c r="K175" s="327"/>
      <c r="L175" s="295"/>
      <c r="M175" s="295"/>
      <c r="N175" s="295"/>
      <c r="O175" s="295"/>
      <c r="P175" s="295"/>
    </row>
    <row r="176" spans="1:17" ht="18" thickBot="1" x14ac:dyDescent="0.35">
      <c r="A176" s="22"/>
      <c r="B176" s="26"/>
      <c r="C176" s="27"/>
      <c r="D176" s="27"/>
      <c r="E176" s="27"/>
      <c r="F176" s="28"/>
      <c r="G176" s="28"/>
      <c r="H176" s="27"/>
      <c r="I176" s="27"/>
      <c r="J176" s="27"/>
      <c r="K176" s="328"/>
      <c r="L176" s="296"/>
      <c r="M176" s="296"/>
      <c r="N176" s="296"/>
      <c r="O176" s="296"/>
      <c r="P176" s="296"/>
    </row>
    <row r="177" spans="1:16" ht="17.399999999999999" x14ac:dyDescent="0.3">
      <c r="A177" s="23"/>
      <c r="B177" s="533" t="s">
        <v>319</v>
      </c>
      <c r="C177" s="24"/>
      <c r="D177" s="24"/>
      <c r="E177" s="24"/>
      <c r="F177" s="25"/>
      <c r="G177" s="25"/>
      <c r="H177" s="24"/>
      <c r="I177" s="24"/>
      <c r="J177" s="24"/>
      <c r="K177" s="327"/>
      <c r="L177" s="295"/>
      <c r="M177" s="295"/>
      <c r="N177" s="295"/>
      <c r="O177" s="295"/>
      <c r="P177" s="295"/>
    </row>
    <row r="178" spans="1:16" x14ac:dyDescent="0.25">
      <c r="F178" s="30"/>
      <c r="G178" s="31"/>
      <c r="L178" s="297" t="s">
        <v>1</v>
      </c>
      <c r="M178" s="298"/>
      <c r="N178" s="298"/>
      <c r="O178" s="298"/>
      <c r="P178" s="298"/>
    </row>
    <row r="179" spans="1:16" x14ac:dyDescent="0.25">
      <c r="F179" s="30"/>
      <c r="G179" s="32"/>
      <c r="H179" s="32"/>
      <c r="I179" s="32"/>
      <c r="J179" s="32"/>
      <c r="K179" s="14">
        <f t="shared" ref="K179:P179" si="66">K$7</f>
        <v>2024</v>
      </c>
      <c r="L179" s="316">
        <f t="shared" si="66"/>
        <v>2025</v>
      </c>
      <c r="M179" s="316">
        <f t="shared" si="66"/>
        <v>2026</v>
      </c>
      <c r="N179" s="316">
        <f t="shared" si="66"/>
        <v>2027</v>
      </c>
      <c r="O179" s="316">
        <f t="shared" si="66"/>
        <v>2028</v>
      </c>
      <c r="P179" s="316">
        <f t="shared" si="66"/>
        <v>2029</v>
      </c>
    </row>
    <row r="180" spans="1:16" x14ac:dyDescent="0.25">
      <c r="F180" s="30"/>
      <c r="G180" s="30"/>
      <c r="I180" s="35"/>
      <c r="J180" s="35"/>
      <c r="K180" s="2"/>
      <c r="L180" s="283"/>
      <c r="M180" s="283"/>
      <c r="N180" s="283"/>
      <c r="O180" s="283"/>
      <c r="P180" s="283"/>
    </row>
    <row r="181" spans="1:16" x14ac:dyDescent="0.25">
      <c r="B181" s="34" t="s">
        <v>56</v>
      </c>
      <c r="F181" s="30"/>
      <c r="G181" s="37"/>
      <c r="I181" s="35"/>
      <c r="J181" s="35"/>
      <c r="K181" s="2"/>
      <c r="L181" s="283"/>
      <c r="M181" s="283"/>
      <c r="N181" s="283"/>
      <c r="O181" s="283"/>
      <c r="P181" s="283"/>
    </row>
    <row r="182" spans="1:16" x14ac:dyDescent="0.25">
      <c r="F182" s="30"/>
      <c r="G182" s="37"/>
      <c r="I182" s="35"/>
      <c r="J182" s="35"/>
      <c r="K182" s="2"/>
      <c r="L182" s="283"/>
      <c r="M182" s="283"/>
      <c r="N182" s="283"/>
      <c r="O182" s="283"/>
      <c r="P182" s="283"/>
    </row>
    <row r="183" spans="1:16" x14ac:dyDescent="0.25">
      <c r="C183" s="34" t="s">
        <v>32</v>
      </c>
      <c r="F183" s="30"/>
      <c r="G183" s="37"/>
      <c r="I183" s="35"/>
      <c r="J183" s="35"/>
      <c r="K183" s="2"/>
      <c r="L183" s="283"/>
      <c r="M183" s="283"/>
      <c r="N183" s="283"/>
      <c r="O183" s="283"/>
      <c r="P183" s="283"/>
    </row>
    <row r="184" spans="1:16" x14ac:dyDescent="0.25">
      <c r="D184" s="19" t="s">
        <v>60</v>
      </c>
      <c r="F184" s="30"/>
      <c r="G184" s="37"/>
      <c r="I184" s="35"/>
      <c r="J184" s="35"/>
      <c r="K184" s="261"/>
      <c r="L184" s="289">
        <f>K186</f>
        <v>12735.9</v>
      </c>
      <c r="M184" s="289">
        <f t="shared" ref="M184:P184" si="67">L186</f>
        <v>13768.171053683522</v>
      </c>
      <c r="N184" s="289">
        <f t="shared" si="67"/>
        <v>18192.472322353467</v>
      </c>
      <c r="O184" s="289">
        <f t="shared" si="67"/>
        <v>22840.495727321158</v>
      </c>
      <c r="P184" s="289">
        <f t="shared" si="67"/>
        <v>28561.847499694719</v>
      </c>
    </row>
    <row r="185" spans="1:16" x14ac:dyDescent="0.25">
      <c r="D185" s="19" t="s">
        <v>61</v>
      </c>
      <c r="F185" s="30"/>
      <c r="G185" s="37"/>
      <c r="I185" s="35"/>
      <c r="J185" s="35"/>
      <c r="K185" s="261"/>
      <c r="L185" s="289">
        <f>L327+L328</f>
        <v>1032.271053683522</v>
      </c>
      <c r="M185" s="289">
        <f t="shared" ref="M185:P185" si="68">M327+M328</f>
        <v>4424.3012686699476</v>
      </c>
      <c r="N185" s="289">
        <f t="shared" si="68"/>
        <v>4648.023404967691</v>
      </c>
      <c r="O185" s="289">
        <f t="shared" si="68"/>
        <v>5721.3517723735622</v>
      </c>
      <c r="P185" s="289">
        <f t="shared" si="68"/>
        <v>5841.6704959186791</v>
      </c>
    </row>
    <row r="186" spans="1:16" x14ac:dyDescent="0.25">
      <c r="D186" s="19" t="s">
        <v>62</v>
      </c>
      <c r="F186" s="30"/>
      <c r="G186" s="37"/>
      <c r="I186" s="35"/>
      <c r="J186" s="35"/>
      <c r="K186" s="370">
        <f>K342</f>
        <v>12735.9</v>
      </c>
      <c r="L186" s="300">
        <f>SUM(L184:L185)</f>
        <v>13768.171053683522</v>
      </c>
      <c r="M186" s="300">
        <f t="shared" ref="M186:P186" si="69">SUM(M184:M185)</f>
        <v>18192.472322353467</v>
      </c>
      <c r="N186" s="300">
        <f t="shared" si="69"/>
        <v>22840.495727321158</v>
      </c>
      <c r="O186" s="300">
        <f t="shared" si="69"/>
        <v>28561.847499694719</v>
      </c>
      <c r="P186" s="300">
        <f t="shared" si="69"/>
        <v>34403.517995613394</v>
      </c>
    </row>
    <row r="187" spans="1:16" x14ac:dyDescent="0.25">
      <c r="F187" s="30"/>
      <c r="G187" s="37"/>
      <c r="I187" s="35"/>
      <c r="J187" s="35"/>
      <c r="K187" s="261"/>
      <c r="L187" s="283"/>
      <c r="M187" s="283"/>
      <c r="N187" s="283"/>
      <c r="O187" s="283"/>
      <c r="P187" s="283"/>
    </row>
    <row r="188" spans="1:16" x14ac:dyDescent="0.25">
      <c r="D188" s="19" t="s">
        <v>18</v>
      </c>
      <c r="F188" s="30"/>
      <c r="G188" s="37"/>
      <c r="I188" s="35"/>
      <c r="J188" s="35"/>
      <c r="K188" s="261"/>
      <c r="L188" s="254">
        <f>Assumptions!Q11</f>
        <v>0.02</v>
      </c>
      <c r="M188" s="268">
        <f>L188</f>
        <v>0.02</v>
      </c>
      <c r="N188" s="268">
        <f t="shared" ref="N188:P188" si="70">M188</f>
        <v>0.02</v>
      </c>
      <c r="O188" s="268">
        <f t="shared" si="70"/>
        <v>0.02</v>
      </c>
      <c r="P188" s="268">
        <f t="shared" si="70"/>
        <v>0.02</v>
      </c>
    </row>
    <row r="189" spans="1:16" x14ac:dyDescent="0.25">
      <c r="D189" s="34" t="s">
        <v>63</v>
      </c>
      <c r="F189" s="30"/>
      <c r="G189" s="37"/>
      <c r="I189" s="35"/>
      <c r="J189" s="35"/>
      <c r="K189" s="261"/>
      <c r="L189" s="356">
        <f>L188*L184</f>
        <v>254.71799999999999</v>
      </c>
      <c r="M189" s="356">
        <f t="shared" ref="M189:P189" si="71">M188*M184</f>
        <v>275.36342107367045</v>
      </c>
      <c r="N189" s="356">
        <f t="shared" si="71"/>
        <v>363.84944644706934</v>
      </c>
      <c r="O189" s="356">
        <f t="shared" si="71"/>
        <v>456.80991454642316</v>
      </c>
      <c r="P189" s="356">
        <f t="shared" si="71"/>
        <v>571.23694999389443</v>
      </c>
    </row>
    <row r="190" spans="1:16" x14ac:dyDescent="0.25">
      <c r="F190" s="30"/>
      <c r="G190" s="37"/>
      <c r="I190" s="35"/>
      <c r="J190" s="35"/>
      <c r="K190" s="261"/>
      <c r="L190" s="283"/>
      <c r="M190" s="283"/>
      <c r="N190" s="283"/>
      <c r="O190" s="283"/>
      <c r="P190" s="283"/>
    </row>
    <row r="191" spans="1:16" x14ac:dyDescent="0.25">
      <c r="F191" s="30"/>
      <c r="G191" s="37"/>
      <c r="I191" s="35"/>
      <c r="J191" s="35"/>
      <c r="K191" s="261"/>
      <c r="L191" s="283"/>
      <c r="M191" s="283"/>
      <c r="N191" s="283"/>
      <c r="O191" s="283"/>
      <c r="P191" s="283"/>
    </row>
    <row r="192" spans="1:16" x14ac:dyDescent="0.25">
      <c r="C192" s="34" t="s">
        <v>57</v>
      </c>
      <c r="E192" s="112"/>
      <c r="F192" s="112"/>
      <c r="G192" s="37"/>
      <c r="I192" s="35"/>
      <c r="J192" s="35"/>
      <c r="K192" s="261"/>
      <c r="L192" s="283"/>
      <c r="M192" s="283"/>
      <c r="N192" s="283"/>
      <c r="O192" s="283"/>
      <c r="P192" s="283"/>
    </row>
    <row r="193" spans="2:16" x14ac:dyDescent="0.25">
      <c r="B193" s="34"/>
      <c r="D193" s="19" t="s">
        <v>64</v>
      </c>
      <c r="F193" s="30"/>
      <c r="G193" s="37"/>
      <c r="I193" s="35"/>
      <c r="J193" s="35"/>
      <c r="K193" s="261"/>
      <c r="L193" s="289">
        <f>L312</f>
        <v>12312.401890725223</v>
      </c>
      <c r="M193" s="289">
        <f t="shared" ref="M193:P193" si="72">M312</f>
        <v>14696.726776964751</v>
      </c>
      <c r="N193" s="289">
        <f t="shared" si="72"/>
        <v>16398.538193573011</v>
      </c>
      <c r="O193" s="289">
        <f t="shared" si="72"/>
        <v>18644.86978579338</v>
      </c>
      <c r="P193" s="289">
        <f t="shared" si="72"/>
        <v>19870.421989127724</v>
      </c>
    </row>
    <row r="194" spans="2:16" x14ac:dyDescent="0.25">
      <c r="B194" s="34"/>
      <c r="D194" s="19" t="s">
        <v>65</v>
      </c>
      <c r="F194" s="30"/>
      <c r="G194" s="37"/>
      <c r="I194" s="35"/>
      <c r="J194" s="35"/>
      <c r="K194" s="261"/>
      <c r="L194" s="289">
        <f>L318</f>
        <v>-5528.3635350000004</v>
      </c>
      <c r="M194" s="289">
        <f t="shared" ref="M194:P194" si="73">M318</f>
        <v>-3679.6818463999998</v>
      </c>
      <c r="N194" s="289">
        <f t="shared" si="73"/>
        <v>-4229.0181162959998</v>
      </c>
      <c r="O194" s="289">
        <f t="shared" si="73"/>
        <v>-4660.5462560659198</v>
      </c>
      <c r="P194" s="289">
        <f t="shared" si="73"/>
        <v>-5062.4160760024288</v>
      </c>
    </row>
    <row r="195" spans="2:16" x14ac:dyDescent="0.25">
      <c r="B195" s="34"/>
      <c r="D195" s="19" t="s">
        <v>66</v>
      </c>
      <c r="F195" s="30"/>
      <c r="G195" s="37"/>
      <c r="I195" s="35"/>
      <c r="J195" s="35"/>
      <c r="K195" s="261"/>
      <c r="L195" s="289">
        <f>L210</f>
        <v>-500</v>
      </c>
      <c r="M195" s="289">
        <f t="shared" ref="M195:P195" si="74">M210</f>
        <v>-500</v>
      </c>
      <c r="N195" s="289">
        <f t="shared" si="74"/>
        <v>-500</v>
      </c>
      <c r="O195" s="289">
        <f t="shared" si="74"/>
        <v>-500</v>
      </c>
      <c r="P195" s="289">
        <f t="shared" si="74"/>
        <v>-500</v>
      </c>
    </row>
    <row r="196" spans="2:16" x14ac:dyDescent="0.25">
      <c r="B196" s="34"/>
      <c r="D196" s="19" t="s">
        <v>67</v>
      </c>
      <c r="F196" s="30"/>
      <c r="G196" s="37"/>
      <c r="I196" s="35"/>
      <c r="J196" s="35"/>
      <c r="K196" s="261"/>
      <c r="L196" s="289">
        <f>-L233</f>
        <v>-2387.1669554735004</v>
      </c>
      <c r="M196" s="289">
        <f t="shared" ref="M196:P196" si="75">-M233</f>
        <v>-2769.4289372249104</v>
      </c>
      <c r="N196" s="289">
        <f t="shared" si="75"/>
        <v>-3191.5893965042364</v>
      </c>
      <c r="O196" s="289">
        <f t="shared" si="75"/>
        <v>-3528.6235260699541</v>
      </c>
      <c r="P196" s="289">
        <f t="shared" si="75"/>
        <v>-3848.3342805484617</v>
      </c>
    </row>
    <row r="197" spans="2:16" x14ac:dyDescent="0.25">
      <c r="B197" s="34"/>
      <c r="D197" s="19" t="s">
        <v>21</v>
      </c>
      <c r="F197" s="30"/>
      <c r="G197" s="37"/>
      <c r="I197" s="35"/>
      <c r="J197" s="35"/>
      <c r="K197" s="261"/>
      <c r="L197" s="289">
        <f>-L237</f>
        <v>-2864.6003465682002</v>
      </c>
      <c r="M197" s="289">
        <f t="shared" ref="M197:P197" si="76">-M237</f>
        <v>-3323.3147246698923</v>
      </c>
      <c r="N197" s="289">
        <f t="shared" si="76"/>
        <v>-3829.9072758050834</v>
      </c>
      <c r="O197" s="289">
        <f t="shared" si="76"/>
        <v>-4234.3482312839451</v>
      </c>
      <c r="P197" s="289">
        <f t="shared" si="76"/>
        <v>-4618.0011366581539</v>
      </c>
    </row>
    <row r="198" spans="2:16" x14ac:dyDescent="0.25">
      <c r="D198" s="34" t="s">
        <v>68</v>
      </c>
      <c r="F198" s="30"/>
      <c r="G198" s="37"/>
      <c r="I198" s="35"/>
      <c r="J198" s="35"/>
      <c r="K198" s="261"/>
      <c r="L198" s="300">
        <f>SUM(L193:L197)</f>
        <v>1032.271053683522</v>
      </c>
      <c r="M198" s="300">
        <f t="shared" ref="M198:P198" si="77">SUM(M193:M197)</f>
        <v>4424.3012686699494</v>
      </c>
      <c r="N198" s="300">
        <f t="shared" si="77"/>
        <v>4648.0234049676919</v>
      </c>
      <c r="O198" s="300">
        <f t="shared" si="77"/>
        <v>5721.3517723735613</v>
      </c>
      <c r="P198" s="300">
        <f t="shared" si="77"/>
        <v>5841.6704959186818</v>
      </c>
    </row>
    <row r="199" spans="2:16" x14ac:dyDescent="0.25">
      <c r="C199" s="34"/>
      <c r="F199" s="30"/>
      <c r="G199" s="37"/>
      <c r="I199" s="35"/>
      <c r="J199" s="35"/>
      <c r="K199" s="261"/>
      <c r="L199" s="283"/>
      <c r="M199" s="283"/>
      <c r="N199" s="283"/>
      <c r="O199" s="283"/>
      <c r="P199" s="283"/>
    </row>
    <row r="200" spans="2:16" x14ac:dyDescent="0.25">
      <c r="D200" s="19" t="s">
        <v>69</v>
      </c>
      <c r="F200" s="30"/>
      <c r="G200" s="37"/>
      <c r="I200" s="35"/>
      <c r="J200" s="35"/>
      <c r="K200" s="261"/>
      <c r="L200" s="289">
        <f>K202</f>
        <v>0</v>
      </c>
      <c r="M200" s="289">
        <f t="shared" ref="M200:P200" si="78">L202</f>
        <v>0</v>
      </c>
      <c r="N200" s="289">
        <f t="shared" si="78"/>
        <v>0</v>
      </c>
      <c r="O200" s="289">
        <f t="shared" si="78"/>
        <v>0</v>
      </c>
      <c r="P200" s="289">
        <f t="shared" si="78"/>
        <v>0</v>
      </c>
    </row>
    <row r="201" spans="2:16" x14ac:dyDescent="0.25">
      <c r="D201" s="19" t="s">
        <v>70</v>
      </c>
      <c r="F201" s="30"/>
      <c r="G201" s="37"/>
      <c r="I201" s="35"/>
      <c r="J201" s="35"/>
      <c r="K201" s="261"/>
      <c r="L201" s="289">
        <f>-MIN(L198+L184,L200)</f>
        <v>0</v>
      </c>
      <c r="M201" s="289">
        <f t="shared" ref="M201:P201" si="79">-MIN(M198+M184,M200)</f>
        <v>0</v>
      </c>
      <c r="N201" s="289">
        <f t="shared" si="79"/>
        <v>0</v>
      </c>
      <c r="O201" s="289">
        <f t="shared" si="79"/>
        <v>0</v>
      </c>
      <c r="P201" s="289">
        <f t="shared" si="79"/>
        <v>0</v>
      </c>
    </row>
    <row r="202" spans="2:16" x14ac:dyDescent="0.25">
      <c r="D202" s="19" t="s">
        <v>71</v>
      </c>
      <c r="F202" s="30"/>
      <c r="G202" s="37"/>
      <c r="I202" s="35"/>
      <c r="J202" s="35"/>
      <c r="K202" s="349">
        <f>K366</f>
        <v>0</v>
      </c>
      <c r="L202" s="300">
        <f>SUM(L200:L201)</f>
        <v>0</v>
      </c>
      <c r="M202" s="300">
        <f t="shared" ref="M202:P202" si="80">SUM(M200:M201)</f>
        <v>0</v>
      </c>
      <c r="N202" s="300">
        <f t="shared" si="80"/>
        <v>0</v>
      </c>
      <c r="O202" s="300">
        <f t="shared" si="80"/>
        <v>0</v>
      </c>
      <c r="P202" s="300">
        <f t="shared" si="80"/>
        <v>0</v>
      </c>
    </row>
    <row r="203" spans="2:16" x14ac:dyDescent="0.25">
      <c r="F203" s="30"/>
      <c r="G203" s="37"/>
      <c r="I203" s="35"/>
      <c r="J203" s="35"/>
      <c r="K203" s="261"/>
      <c r="L203" s="283"/>
      <c r="M203" s="283"/>
      <c r="N203" s="283"/>
      <c r="O203" s="283"/>
      <c r="P203" s="283"/>
    </row>
    <row r="204" spans="2:16" x14ac:dyDescent="0.25">
      <c r="D204" s="19" t="s">
        <v>18</v>
      </c>
      <c r="F204" s="30"/>
      <c r="G204" s="37"/>
      <c r="I204" s="35"/>
      <c r="J204" s="35"/>
      <c r="K204" s="261"/>
      <c r="L204" s="254">
        <f>Assumptions!Q12</f>
        <v>0.04</v>
      </c>
      <c r="M204" s="355">
        <f>L204</f>
        <v>0.04</v>
      </c>
      <c r="N204" s="355">
        <f t="shared" ref="N204:P204" si="81">M204</f>
        <v>0.04</v>
      </c>
      <c r="O204" s="355">
        <f t="shared" si="81"/>
        <v>0.04</v>
      </c>
      <c r="P204" s="355">
        <f t="shared" si="81"/>
        <v>0.04</v>
      </c>
    </row>
    <row r="205" spans="2:16" x14ac:dyDescent="0.25">
      <c r="D205" s="34" t="s">
        <v>72</v>
      </c>
      <c r="F205" s="30"/>
      <c r="G205" s="37"/>
      <c r="I205" s="35"/>
      <c r="J205" s="35"/>
      <c r="K205" s="261"/>
      <c r="L205" s="356">
        <f>L200*L204</f>
        <v>0</v>
      </c>
      <c r="M205" s="356">
        <f t="shared" ref="M205:P205" si="82">M200*M204</f>
        <v>0</v>
      </c>
      <c r="N205" s="356">
        <f t="shared" si="82"/>
        <v>0</v>
      </c>
      <c r="O205" s="356">
        <f t="shared" si="82"/>
        <v>0</v>
      </c>
      <c r="P205" s="356">
        <f t="shared" si="82"/>
        <v>0</v>
      </c>
    </row>
    <row r="206" spans="2:16" x14ac:dyDescent="0.25">
      <c r="F206" s="30"/>
      <c r="G206" s="37"/>
      <c r="I206" s="35"/>
      <c r="J206" s="35"/>
      <c r="K206" s="261"/>
      <c r="L206" s="283"/>
      <c r="M206" s="283"/>
      <c r="N206" s="283"/>
      <c r="O206" s="283"/>
      <c r="P206" s="283"/>
    </row>
    <row r="207" spans="2:16" x14ac:dyDescent="0.25">
      <c r="F207" s="30"/>
      <c r="G207" s="37"/>
      <c r="I207" s="35"/>
      <c r="J207" s="35"/>
      <c r="K207" s="261"/>
      <c r="L207" s="283"/>
      <c r="M207" s="283"/>
      <c r="N207" s="283"/>
      <c r="O207" s="283"/>
      <c r="P207" s="283"/>
    </row>
    <row r="208" spans="2:16" x14ac:dyDescent="0.25">
      <c r="C208" s="34" t="s">
        <v>58</v>
      </c>
      <c r="F208" s="30"/>
      <c r="G208" s="37"/>
      <c r="I208" s="35"/>
      <c r="J208" s="35"/>
      <c r="K208" s="261"/>
      <c r="L208" s="283"/>
      <c r="M208" s="283"/>
      <c r="N208" s="283"/>
      <c r="O208" s="283"/>
      <c r="P208" s="283"/>
    </row>
    <row r="209" spans="1:16" x14ac:dyDescent="0.25">
      <c r="D209" s="19" t="s">
        <v>60</v>
      </c>
      <c r="F209" s="30"/>
      <c r="G209" s="37"/>
      <c r="I209" s="35"/>
      <c r="J209" s="35"/>
      <c r="K209" s="261"/>
      <c r="L209" s="289">
        <f>K211</f>
        <v>3677.3</v>
      </c>
      <c r="M209" s="289">
        <f t="shared" ref="M209:P209" si="83">L211</f>
        <v>3177.3</v>
      </c>
      <c r="N209" s="289">
        <f t="shared" si="83"/>
        <v>2677.3</v>
      </c>
      <c r="O209" s="289">
        <f t="shared" si="83"/>
        <v>2177.3000000000002</v>
      </c>
      <c r="P209" s="289">
        <f t="shared" si="83"/>
        <v>1677.3000000000002</v>
      </c>
    </row>
    <row r="210" spans="1:16" x14ac:dyDescent="0.25">
      <c r="D210" s="19" t="s">
        <v>70</v>
      </c>
      <c r="F210" s="30"/>
      <c r="G210" s="37"/>
      <c r="I210" s="35"/>
      <c r="J210" s="35"/>
      <c r="K210" s="261"/>
      <c r="L210" s="271">
        <f>Assumptions!M45</f>
        <v>-500</v>
      </c>
      <c r="M210" s="271">
        <f>Assumptions!N45</f>
        <v>-500</v>
      </c>
      <c r="N210" s="271">
        <f>Assumptions!O45</f>
        <v>-500</v>
      </c>
      <c r="O210" s="271">
        <f>Assumptions!P45</f>
        <v>-500</v>
      </c>
      <c r="P210" s="271">
        <f>Assumptions!Q45</f>
        <v>-500</v>
      </c>
    </row>
    <row r="211" spans="1:16" x14ac:dyDescent="0.25">
      <c r="D211" s="19" t="s">
        <v>62</v>
      </c>
      <c r="F211" s="30"/>
      <c r="G211" s="37"/>
      <c r="I211" s="35"/>
      <c r="J211" s="35"/>
      <c r="K211" s="370">
        <f>K373</f>
        <v>3677.3</v>
      </c>
      <c r="L211" s="300">
        <f>SUM(L209:L210)</f>
        <v>3177.3</v>
      </c>
      <c r="M211" s="300">
        <f t="shared" ref="M211:P211" si="84">SUM(M209:M210)</f>
        <v>2677.3</v>
      </c>
      <c r="N211" s="300">
        <f t="shared" si="84"/>
        <v>2177.3000000000002</v>
      </c>
      <c r="O211" s="300">
        <f t="shared" si="84"/>
        <v>1677.3000000000002</v>
      </c>
      <c r="P211" s="300">
        <f t="shared" si="84"/>
        <v>1177.3000000000002</v>
      </c>
    </row>
    <row r="212" spans="1:16" x14ac:dyDescent="0.25">
      <c r="F212" s="30"/>
      <c r="K212" s="261"/>
    </row>
    <row r="213" spans="1:16" x14ac:dyDescent="0.25">
      <c r="D213" s="19" t="s">
        <v>18</v>
      </c>
      <c r="F213" s="30"/>
      <c r="K213" s="261"/>
      <c r="L213" s="254">
        <f>Assumptions!Q13</f>
        <v>3.5000000000000003E-2</v>
      </c>
      <c r="M213" s="355">
        <f>L213</f>
        <v>3.5000000000000003E-2</v>
      </c>
      <c r="N213" s="355">
        <f t="shared" ref="N213:P213" si="85">M213</f>
        <v>3.5000000000000003E-2</v>
      </c>
      <c r="O213" s="355">
        <f t="shared" si="85"/>
        <v>3.5000000000000003E-2</v>
      </c>
      <c r="P213" s="355">
        <f t="shared" si="85"/>
        <v>3.5000000000000003E-2</v>
      </c>
    </row>
    <row r="214" spans="1:16" x14ac:dyDescent="0.25">
      <c r="D214" s="34" t="s">
        <v>72</v>
      </c>
      <c r="F214" s="30"/>
      <c r="K214" s="261"/>
      <c r="L214" s="356">
        <f>L209*L213</f>
        <v>128.70550000000003</v>
      </c>
      <c r="M214" s="356">
        <f t="shared" ref="M214:P214" si="86">M209*M213</f>
        <v>111.20550000000001</v>
      </c>
      <c r="N214" s="356">
        <f t="shared" si="86"/>
        <v>93.705500000000015</v>
      </c>
      <c r="O214" s="356">
        <f t="shared" si="86"/>
        <v>76.205500000000015</v>
      </c>
      <c r="P214" s="356">
        <f t="shared" si="86"/>
        <v>58.705500000000015</v>
      </c>
    </row>
    <row r="215" spans="1:16" x14ac:dyDescent="0.25">
      <c r="F215" s="30"/>
      <c r="K215" s="261"/>
    </row>
    <row r="216" spans="1:16" x14ac:dyDescent="0.25">
      <c r="F216" s="30"/>
      <c r="K216" s="261"/>
    </row>
    <row r="217" spans="1:16" x14ac:dyDescent="0.25">
      <c r="C217" s="34" t="s">
        <v>59</v>
      </c>
      <c r="F217" s="30"/>
      <c r="K217" s="261"/>
      <c r="L217" s="290">
        <f>L214+L205-L189</f>
        <v>-126.01249999999996</v>
      </c>
      <c r="M217" s="290">
        <f t="shared" ref="M217:P217" si="87">M214+M205-M189</f>
        <v>-164.15792107367042</v>
      </c>
      <c r="N217" s="290">
        <f t="shared" si="87"/>
        <v>-270.14394644706931</v>
      </c>
      <c r="O217" s="290">
        <f t="shared" si="87"/>
        <v>-380.60441454642313</v>
      </c>
      <c r="P217" s="290">
        <f t="shared" si="87"/>
        <v>-512.5314499938944</v>
      </c>
    </row>
    <row r="218" spans="1:16" x14ac:dyDescent="0.25">
      <c r="B218" s="54"/>
      <c r="C218" s="54"/>
      <c r="D218" s="54"/>
      <c r="E218" s="54"/>
      <c r="F218" s="55"/>
      <c r="G218" s="55"/>
      <c r="H218" s="54"/>
      <c r="I218" s="54"/>
      <c r="J218" s="54"/>
      <c r="K218" s="340"/>
      <c r="L218" s="293"/>
      <c r="M218" s="293"/>
      <c r="N218" s="293"/>
      <c r="O218" s="293"/>
      <c r="P218" s="293"/>
    </row>
    <row r="219" spans="1:16" x14ac:dyDescent="0.25">
      <c r="L219" s="283"/>
      <c r="M219" s="283"/>
      <c r="N219" s="283"/>
      <c r="O219" s="283"/>
      <c r="P219" s="283"/>
    </row>
    <row r="220" spans="1:16" x14ac:dyDescent="0.25">
      <c r="L220" s="283"/>
      <c r="M220" s="283"/>
      <c r="N220" s="283"/>
      <c r="O220" s="283"/>
      <c r="P220" s="276" t="str">
        <f>$P$1</f>
        <v>CURRENTLY RUNNING: BASE CASE SCENARIO</v>
      </c>
    </row>
    <row r="221" spans="1:16" ht="22.8" x14ac:dyDescent="0.4">
      <c r="A221" s="20"/>
      <c r="B221" s="21" t="str">
        <f>Assumptions!$C$2</f>
        <v>ASML</v>
      </c>
      <c r="C221" s="17"/>
      <c r="D221" s="17"/>
      <c r="E221" s="17"/>
      <c r="F221" s="18"/>
      <c r="G221" s="18"/>
      <c r="H221" s="17"/>
      <c r="I221" s="17"/>
      <c r="J221" s="17"/>
      <c r="K221" s="326"/>
      <c r="L221" s="294"/>
      <c r="M221" s="294"/>
      <c r="N221" s="294"/>
      <c r="O221" s="294"/>
      <c r="P221" s="294"/>
    </row>
    <row r="222" spans="1:16" ht="17.399999999999999" x14ac:dyDescent="0.3">
      <c r="A222" s="22"/>
      <c r="B222" s="23" t="s">
        <v>19</v>
      </c>
      <c r="C222" s="24"/>
      <c r="D222" s="24"/>
      <c r="E222" s="24"/>
      <c r="F222" s="25"/>
      <c r="G222" s="25"/>
      <c r="H222" s="24"/>
      <c r="I222" s="24"/>
      <c r="J222" s="24"/>
      <c r="K222" s="327"/>
      <c r="L222" s="295"/>
      <c r="M222" s="295"/>
      <c r="N222" s="295"/>
      <c r="O222" s="295"/>
      <c r="P222" s="295"/>
    </row>
    <row r="223" spans="1:16" ht="18" thickBot="1" x14ac:dyDescent="0.35">
      <c r="A223" s="22"/>
      <c r="B223" s="26"/>
      <c r="C223" s="27"/>
      <c r="D223" s="27"/>
      <c r="E223" s="27"/>
      <c r="F223" s="28"/>
      <c r="G223" s="28"/>
      <c r="H223" s="27"/>
      <c r="I223" s="27"/>
      <c r="J223" s="27"/>
      <c r="K223" s="328"/>
      <c r="L223" s="296"/>
      <c r="M223" s="296"/>
      <c r="N223" s="296"/>
      <c r="O223" s="296"/>
      <c r="P223" s="296"/>
    </row>
    <row r="224" spans="1:16" ht="17.399999999999999" x14ac:dyDescent="0.3">
      <c r="A224" s="23"/>
      <c r="B224" s="533" t="s">
        <v>319</v>
      </c>
      <c r="C224" s="24"/>
      <c r="D224" s="24"/>
      <c r="E224" s="24"/>
      <c r="F224" s="25"/>
      <c r="G224" s="25"/>
      <c r="H224" s="24"/>
      <c r="I224" s="24"/>
      <c r="J224" s="24"/>
      <c r="K224" s="327"/>
      <c r="L224" s="295"/>
      <c r="M224" s="295"/>
      <c r="N224" s="295"/>
      <c r="O224" s="295"/>
      <c r="P224" s="295"/>
    </row>
    <row r="225" spans="2:16" x14ac:dyDescent="0.25">
      <c r="F225" s="30"/>
      <c r="G225" s="31"/>
      <c r="L225" s="297" t="s">
        <v>1</v>
      </c>
      <c r="M225" s="298"/>
      <c r="N225" s="298"/>
      <c r="O225" s="298"/>
      <c r="P225" s="298"/>
    </row>
    <row r="226" spans="2:16" x14ac:dyDescent="0.25">
      <c r="F226" s="30"/>
      <c r="G226" s="32"/>
      <c r="H226" s="32"/>
      <c r="I226" s="32"/>
      <c r="J226" s="32"/>
      <c r="K226" s="14">
        <f t="shared" ref="K226:P226" si="88">K$7</f>
        <v>2024</v>
      </c>
      <c r="L226" s="316">
        <f t="shared" si="88"/>
        <v>2025</v>
      </c>
      <c r="M226" s="316">
        <f t="shared" si="88"/>
        <v>2026</v>
      </c>
      <c r="N226" s="316">
        <f t="shared" si="88"/>
        <v>2027</v>
      </c>
      <c r="O226" s="316">
        <f t="shared" si="88"/>
        <v>2028</v>
      </c>
      <c r="P226" s="316">
        <f t="shared" si="88"/>
        <v>2029</v>
      </c>
    </row>
    <row r="227" spans="2:16" x14ac:dyDescent="0.25">
      <c r="F227" s="30"/>
      <c r="G227" s="30"/>
      <c r="I227" s="35"/>
      <c r="J227" s="35"/>
      <c r="K227" s="2"/>
      <c r="L227" s="283"/>
      <c r="M227" s="283"/>
      <c r="N227" s="283"/>
      <c r="O227" s="283"/>
      <c r="P227" s="283"/>
    </row>
    <row r="228" spans="2:16" x14ac:dyDescent="0.25">
      <c r="F228" s="30"/>
      <c r="G228" s="30"/>
      <c r="I228" s="35"/>
      <c r="J228" s="35"/>
      <c r="K228" s="2"/>
      <c r="L228" s="283"/>
      <c r="M228" s="283"/>
      <c r="N228" s="283"/>
      <c r="O228" s="283"/>
      <c r="P228" s="283"/>
    </row>
    <row r="229" spans="2:16" x14ac:dyDescent="0.25">
      <c r="F229" s="30"/>
      <c r="G229" s="30"/>
      <c r="I229" s="35"/>
      <c r="J229" s="35"/>
      <c r="K229" s="2"/>
      <c r="L229" s="283"/>
      <c r="M229" s="283"/>
      <c r="N229" s="283"/>
      <c r="O229" s="283"/>
      <c r="P229" s="283"/>
    </row>
    <row r="230" spans="2:16" x14ac:dyDescent="0.25">
      <c r="B230" s="34" t="s">
        <v>73</v>
      </c>
      <c r="E230" s="30"/>
      <c r="G230" s="30"/>
      <c r="I230" s="35"/>
      <c r="J230" s="35"/>
      <c r="K230" s="2"/>
      <c r="L230" s="283"/>
      <c r="M230" s="283"/>
      <c r="N230" s="283"/>
      <c r="O230" s="283"/>
      <c r="P230" s="283"/>
    </row>
    <row r="231" spans="2:16" x14ac:dyDescent="0.25">
      <c r="C231" s="19" t="s">
        <v>230</v>
      </c>
      <c r="E231" s="30"/>
      <c r="G231" s="30"/>
      <c r="I231" s="35"/>
      <c r="J231" s="35"/>
      <c r="K231" s="2"/>
      <c r="L231" s="254">
        <f>Assumptions!H30</f>
        <v>0.25</v>
      </c>
      <c r="M231" s="371">
        <f>L231</f>
        <v>0.25</v>
      </c>
      <c r="N231" s="371">
        <f t="shared" ref="N231:P231" si="89">M231</f>
        <v>0.25</v>
      </c>
      <c r="O231" s="371">
        <f t="shared" si="89"/>
        <v>0.25</v>
      </c>
      <c r="P231" s="371">
        <f t="shared" si="89"/>
        <v>0.25</v>
      </c>
    </row>
    <row r="232" spans="2:16" x14ac:dyDescent="0.25">
      <c r="C232" s="19" t="s">
        <v>20</v>
      </c>
      <c r="E232" s="30"/>
      <c r="G232" s="30"/>
      <c r="I232" s="35"/>
      <c r="J232" s="35"/>
      <c r="K232" s="2"/>
      <c r="L232" s="289">
        <f>L236</f>
        <v>9548.6678218940015</v>
      </c>
      <c r="M232" s="289">
        <f t="shared" ref="M232:P232" si="90">M236</f>
        <v>11077.715748899642</v>
      </c>
      <c r="N232" s="289">
        <f t="shared" si="90"/>
        <v>12766.357586016946</v>
      </c>
      <c r="O232" s="289">
        <f t="shared" si="90"/>
        <v>14114.494104279816</v>
      </c>
      <c r="P232" s="289">
        <f t="shared" si="90"/>
        <v>15393.337122193847</v>
      </c>
    </row>
    <row r="233" spans="2:16" x14ac:dyDescent="0.25">
      <c r="C233" s="34" t="s">
        <v>232</v>
      </c>
      <c r="E233" s="30"/>
      <c r="G233" s="30"/>
      <c r="I233" s="35"/>
      <c r="J233" s="35"/>
      <c r="K233" s="4"/>
      <c r="L233" s="356">
        <f>MAX(L231*L232,0)</f>
        <v>2387.1669554735004</v>
      </c>
      <c r="M233" s="356">
        <f t="shared" ref="M233:P233" si="91">MAX(M231*M232,0)</f>
        <v>2769.4289372249104</v>
      </c>
      <c r="N233" s="356">
        <f t="shared" si="91"/>
        <v>3191.5893965042364</v>
      </c>
      <c r="O233" s="356">
        <f t="shared" si="91"/>
        <v>3528.6235260699541</v>
      </c>
      <c r="P233" s="356">
        <f t="shared" si="91"/>
        <v>3848.3342805484617</v>
      </c>
    </row>
    <row r="234" spans="2:16" x14ac:dyDescent="0.25">
      <c r="E234" s="30"/>
      <c r="G234" s="30"/>
      <c r="I234" s="35"/>
      <c r="J234" s="35"/>
      <c r="K234" s="2"/>
      <c r="L234" s="283"/>
      <c r="M234" s="283"/>
      <c r="N234" s="283"/>
      <c r="O234" s="283"/>
      <c r="P234" s="283"/>
    </row>
    <row r="235" spans="2:16" x14ac:dyDescent="0.25">
      <c r="C235" s="19" t="s">
        <v>74</v>
      </c>
      <c r="E235" s="30"/>
      <c r="G235" s="30"/>
      <c r="I235" s="35"/>
      <c r="J235" s="35"/>
      <c r="K235" s="2"/>
      <c r="L235" s="254">
        <f>Assumptions!H29</f>
        <v>0.3</v>
      </c>
      <c r="M235" s="371">
        <f>L235</f>
        <v>0.3</v>
      </c>
      <c r="N235" s="371">
        <f t="shared" ref="N235:P235" si="92">M235</f>
        <v>0.3</v>
      </c>
      <c r="O235" s="371">
        <f t="shared" si="92"/>
        <v>0.3</v>
      </c>
      <c r="P235" s="371">
        <f t="shared" si="92"/>
        <v>0.3</v>
      </c>
    </row>
    <row r="236" spans="2:16" x14ac:dyDescent="0.25">
      <c r="C236" s="19" t="s">
        <v>20</v>
      </c>
      <c r="E236" s="30"/>
      <c r="G236" s="30"/>
      <c r="I236" s="35"/>
      <c r="J236" s="35"/>
      <c r="K236" s="2"/>
      <c r="L236" s="289">
        <f>L282</f>
        <v>9548.6678218940015</v>
      </c>
      <c r="M236" s="289">
        <f t="shared" ref="M236:P236" si="93">M282</f>
        <v>11077.715748899642</v>
      </c>
      <c r="N236" s="289">
        <f t="shared" si="93"/>
        <v>12766.357586016946</v>
      </c>
      <c r="O236" s="289">
        <f t="shared" si="93"/>
        <v>14114.494104279816</v>
      </c>
      <c r="P236" s="289">
        <f t="shared" si="93"/>
        <v>15393.337122193847</v>
      </c>
    </row>
    <row r="237" spans="2:16" x14ac:dyDescent="0.25">
      <c r="B237" s="34"/>
      <c r="C237" s="34" t="s">
        <v>75</v>
      </c>
      <c r="E237" s="30"/>
      <c r="G237" s="30"/>
      <c r="I237" s="35"/>
      <c r="J237" s="35"/>
      <c r="K237" s="2"/>
      <c r="L237" s="356">
        <f>MAX(L235*L236,0)</f>
        <v>2864.6003465682002</v>
      </c>
      <c r="M237" s="356">
        <f t="shared" ref="M237:P237" si="94">MAX(M235*M236,0)</f>
        <v>3323.3147246698923</v>
      </c>
      <c r="N237" s="356">
        <f t="shared" si="94"/>
        <v>3829.9072758050834</v>
      </c>
      <c r="O237" s="356">
        <f t="shared" si="94"/>
        <v>4234.3482312839451</v>
      </c>
      <c r="P237" s="356">
        <f t="shared" si="94"/>
        <v>4618.0011366581539</v>
      </c>
    </row>
    <row r="238" spans="2:16" x14ac:dyDescent="0.25">
      <c r="E238" s="30"/>
      <c r="G238" s="30"/>
      <c r="I238" s="35"/>
      <c r="J238" s="35"/>
      <c r="K238" s="2"/>
      <c r="L238" s="283"/>
      <c r="M238" s="283"/>
      <c r="N238" s="283"/>
      <c r="O238" s="283"/>
      <c r="P238" s="283"/>
    </row>
    <row r="239" spans="2:16" x14ac:dyDescent="0.25">
      <c r="E239" s="30"/>
      <c r="G239" s="30"/>
      <c r="I239" s="35"/>
      <c r="J239" s="35"/>
      <c r="K239" s="2"/>
      <c r="L239" s="283"/>
      <c r="M239" s="283"/>
      <c r="N239" s="283"/>
      <c r="O239" s="283"/>
      <c r="P239" s="283"/>
    </row>
    <row r="240" spans="2:16" x14ac:dyDescent="0.25">
      <c r="B240" s="34" t="s">
        <v>37</v>
      </c>
      <c r="E240" s="30"/>
      <c r="G240" s="30"/>
      <c r="I240" s="35"/>
      <c r="J240" s="35"/>
      <c r="K240" s="2"/>
      <c r="L240" s="283"/>
      <c r="M240" s="283"/>
      <c r="N240" s="283"/>
      <c r="O240" s="283"/>
      <c r="P240" s="283"/>
    </row>
    <row r="241" spans="1:16" x14ac:dyDescent="0.25">
      <c r="C241" s="19" t="s">
        <v>60</v>
      </c>
      <c r="E241" s="30"/>
      <c r="G241" s="30"/>
      <c r="I241" s="35"/>
      <c r="J241" s="35"/>
      <c r="K241" s="2"/>
      <c r="L241" s="289">
        <f>K244</f>
        <v>5166.6000000000004</v>
      </c>
      <c r="M241" s="289">
        <f t="shared" ref="M241:P241" si="95">L244</f>
        <v>11850.667475325801</v>
      </c>
      <c r="N241" s="289">
        <f t="shared" si="95"/>
        <v>19605.068499555549</v>
      </c>
      <c r="O241" s="289">
        <f t="shared" si="95"/>
        <v>28541.518809767411</v>
      </c>
      <c r="P241" s="289">
        <f t="shared" si="95"/>
        <v>38421.664682763279</v>
      </c>
    </row>
    <row r="242" spans="1:16" x14ac:dyDescent="0.25">
      <c r="C242" s="19" t="s">
        <v>20</v>
      </c>
      <c r="E242" s="30"/>
      <c r="G242" s="37"/>
      <c r="I242" s="35"/>
      <c r="J242" s="35"/>
      <c r="K242" s="2"/>
      <c r="L242" s="289">
        <f>L236</f>
        <v>9548.6678218940015</v>
      </c>
      <c r="M242" s="289">
        <f t="shared" ref="M242:P242" si="96">M236</f>
        <v>11077.715748899642</v>
      </c>
      <c r="N242" s="289">
        <f t="shared" si="96"/>
        <v>12766.357586016946</v>
      </c>
      <c r="O242" s="289">
        <f t="shared" si="96"/>
        <v>14114.494104279816</v>
      </c>
      <c r="P242" s="289">
        <f t="shared" si="96"/>
        <v>15393.337122193847</v>
      </c>
    </row>
    <row r="243" spans="1:16" x14ac:dyDescent="0.25">
      <c r="C243" s="19" t="s">
        <v>75</v>
      </c>
      <c r="E243" s="30"/>
      <c r="G243" s="70"/>
      <c r="H243" s="70"/>
      <c r="I243" s="70"/>
      <c r="J243" s="70"/>
      <c r="K243" s="350"/>
      <c r="L243" s="289">
        <f>-L237</f>
        <v>-2864.6003465682002</v>
      </c>
      <c r="M243" s="289">
        <f t="shared" ref="M243:P243" si="97">-M237</f>
        <v>-3323.3147246698923</v>
      </c>
      <c r="N243" s="289">
        <f t="shared" si="97"/>
        <v>-3829.9072758050834</v>
      </c>
      <c r="O243" s="289">
        <f t="shared" si="97"/>
        <v>-4234.3482312839451</v>
      </c>
      <c r="P243" s="289">
        <f t="shared" si="97"/>
        <v>-4618.0011366581539</v>
      </c>
    </row>
    <row r="244" spans="1:16" x14ac:dyDescent="0.25">
      <c r="C244" s="34" t="s">
        <v>62</v>
      </c>
      <c r="D244" s="34"/>
      <c r="E244" s="132"/>
      <c r="G244" s="70"/>
      <c r="H244" s="70"/>
      <c r="I244" s="70"/>
      <c r="J244" s="70"/>
      <c r="K244" s="370">
        <v>5166.6000000000004</v>
      </c>
      <c r="L244" s="319">
        <f>SUM(L241:L243)</f>
        <v>11850.667475325801</v>
      </c>
      <c r="M244" s="319">
        <f>SUM(M241:M243)</f>
        <v>19605.068499555549</v>
      </c>
      <c r="N244" s="319">
        <f>SUM(N241:N243)</f>
        <v>28541.518809767411</v>
      </c>
      <c r="O244" s="319">
        <f>SUM(O241:O243)</f>
        <v>38421.664682763279</v>
      </c>
      <c r="P244" s="319">
        <f>SUM(P241:P243)</f>
        <v>49197.00066829897</v>
      </c>
    </row>
    <row r="245" spans="1:16" x14ac:dyDescent="0.25">
      <c r="F245" s="37"/>
      <c r="G245" s="70"/>
      <c r="H245" s="70"/>
      <c r="I245" s="70"/>
      <c r="J245" s="70"/>
      <c r="K245" s="350"/>
    </row>
    <row r="246" spans="1:16" x14ac:dyDescent="0.25">
      <c r="F246" s="70"/>
      <c r="G246" s="70"/>
      <c r="H246" s="70"/>
      <c r="I246" s="70"/>
      <c r="J246" s="70"/>
      <c r="K246" s="350"/>
    </row>
    <row r="247" spans="1:16" x14ac:dyDescent="0.25">
      <c r="B247" s="29"/>
      <c r="C247" s="61"/>
      <c r="D247" s="62"/>
      <c r="E247" s="62"/>
      <c r="F247" s="63"/>
      <c r="G247" s="64"/>
      <c r="H247" s="29"/>
      <c r="I247" s="65"/>
      <c r="J247" s="65"/>
      <c r="L247" s="283"/>
      <c r="M247" s="283"/>
      <c r="N247" s="283"/>
      <c r="O247" s="283"/>
      <c r="P247" s="283"/>
    </row>
    <row r="248" spans="1:16" x14ac:dyDescent="0.25">
      <c r="B248" s="54"/>
      <c r="C248" s="54"/>
      <c r="D248" s="54"/>
      <c r="E248" s="54"/>
      <c r="F248" s="55"/>
      <c r="G248" s="55"/>
      <c r="H248" s="54"/>
      <c r="I248" s="54"/>
      <c r="J248" s="54"/>
      <c r="K248" s="340"/>
      <c r="L248" s="293"/>
      <c r="M248" s="293"/>
      <c r="N248" s="293"/>
      <c r="O248" s="293"/>
      <c r="P248" s="293"/>
    </row>
    <row r="249" spans="1:16" x14ac:dyDescent="0.25">
      <c r="L249" s="283"/>
      <c r="M249" s="283"/>
      <c r="N249" s="283"/>
      <c r="O249" s="283"/>
      <c r="P249" s="283"/>
    </row>
    <row r="250" spans="1:16" x14ac:dyDescent="0.25">
      <c r="L250" s="283"/>
      <c r="M250" s="283"/>
      <c r="N250" s="283"/>
      <c r="O250" s="283"/>
      <c r="P250" s="276" t="str">
        <f>$P$1</f>
        <v>CURRENTLY RUNNING: BASE CASE SCENARIO</v>
      </c>
    </row>
    <row r="251" spans="1:16" ht="22.8" x14ac:dyDescent="0.4">
      <c r="A251" s="20"/>
      <c r="B251" s="21" t="str">
        <f>Assumptions!$C$2</f>
        <v>ASML</v>
      </c>
      <c r="C251" s="17"/>
      <c r="D251" s="17"/>
      <c r="E251" s="17"/>
      <c r="F251" s="18"/>
      <c r="G251" s="18"/>
      <c r="H251" s="17"/>
      <c r="I251" s="17"/>
      <c r="J251" s="17"/>
      <c r="K251" s="326"/>
      <c r="L251" s="294"/>
      <c r="M251" s="294"/>
      <c r="N251" s="294"/>
      <c r="O251" s="294"/>
      <c r="P251" s="294"/>
    </row>
    <row r="252" spans="1:16" ht="17.399999999999999" x14ac:dyDescent="0.3">
      <c r="A252" s="22"/>
      <c r="B252" s="23" t="s">
        <v>22</v>
      </c>
      <c r="C252" s="24"/>
      <c r="D252" s="24"/>
      <c r="E252" s="24"/>
      <c r="F252" s="25"/>
      <c r="G252" s="25"/>
      <c r="H252" s="24"/>
      <c r="I252" s="24"/>
      <c r="J252" s="24"/>
      <c r="K252" s="327"/>
      <c r="L252" s="295"/>
      <c r="M252" s="295"/>
      <c r="N252" s="295"/>
      <c r="O252" s="295"/>
      <c r="P252" s="295"/>
    </row>
    <row r="253" spans="1:16" ht="18" thickBot="1" x14ac:dyDescent="0.35">
      <c r="A253" s="22"/>
      <c r="B253" s="26"/>
      <c r="C253" s="27"/>
      <c r="D253" s="27"/>
      <c r="E253" s="27"/>
      <c r="F253" s="28"/>
      <c r="G253" s="28"/>
      <c r="H253" s="27"/>
      <c r="I253" s="27"/>
      <c r="J253" s="27"/>
      <c r="K253" s="328"/>
      <c r="L253" s="296"/>
      <c r="M253" s="296"/>
      <c r="N253" s="296"/>
      <c r="O253" s="296"/>
      <c r="P253" s="296"/>
    </row>
    <row r="254" spans="1:16" ht="17.399999999999999" x14ac:dyDescent="0.3">
      <c r="A254" s="23"/>
      <c r="B254" s="533" t="s">
        <v>319</v>
      </c>
      <c r="C254" s="24"/>
      <c r="D254" s="24"/>
      <c r="E254" s="24"/>
      <c r="F254" s="25"/>
      <c r="G254" s="25"/>
      <c r="H254" s="24"/>
      <c r="I254" s="24"/>
      <c r="J254" s="24"/>
      <c r="K254" s="327"/>
      <c r="L254" s="295"/>
      <c r="M254" s="295"/>
      <c r="N254" s="295"/>
      <c r="O254" s="295"/>
      <c r="P254" s="295"/>
    </row>
    <row r="255" spans="1:16" x14ac:dyDescent="0.25">
      <c r="F255" s="30"/>
      <c r="G255" s="31"/>
      <c r="L255" s="297" t="s">
        <v>1</v>
      </c>
      <c r="M255" s="298"/>
      <c r="N255" s="298"/>
      <c r="O255" s="298"/>
      <c r="P255" s="298"/>
    </row>
    <row r="256" spans="1:16" x14ac:dyDescent="0.25">
      <c r="F256" s="30"/>
      <c r="G256" s="32">
        <f>G$7</f>
        <v>2020</v>
      </c>
      <c r="H256" s="32">
        <f t="shared" ref="H256:P256" si="98">H$7</f>
        <v>2021</v>
      </c>
      <c r="I256" s="32">
        <f t="shared" si="98"/>
        <v>2022</v>
      </c>
      <c r="J256" s="32">
        <f t="shared" si="98"/>
        <v>2023</v>
      </c>
      <c r="K256" s="14">
        <f t="shared" si="98"/>
        <v>2024</v>
      </c>
      <c r="L256" s="317">
        <f t="shared" si="98"/>
        <v>2025</v>
      </c>
      <c r="M256" s="317">
        <f t="shared" si="98"/>
        <v>2026</v>
      </c>
      <c r="N256" s="317">
        <f t="shared" si="98"/>
        <v>2027</v>
      </c>
      <c r="O256" s="317">
        <f t="shared" si="98"/>
        <v>2028</v>
      </c>
      <c r="P256" s="317">
        <f t="shared" si="98"/>
        <v>2029</v>
      </c>
    </row>
    <row r="257" spans="3:16" x14ac:dyDescent="0.25">
      <c r="F257" s="30"/>
      <c r="G257" s="30"/>
      <c r="I257" s="35"/>
      <c r="J257" s="35"/>
      <c r="K257" s="2"/>
      <c r="L257" s="283"/>
      <c r="M257" s="283"/>
      <c r="N257" s="283"/>
      <c r="O257" s="283"/>
      <c r="P257" s="283"/>
    </row>
    <row r="258" spans="3:16" x14ac:dyDescent="0.25">
      <c r="F258" s="30"/>
      <c r="G258" s="30"/>
      <c r="I258" s="35"/>
      <c r="J258" s="35"/>
      <c r="K258" s="2"/>
      <c r="L258" s="283"/>
      <c r="M258" s="283"/>
      <c r="N258" s="283"/>
      <c r="O258" s="283"/>
      <c r="P258" s="283"/>
    </row>
    <row r="259" spans="3:16" x14ac:dyDescent="0.25">
      <c r="C259" s="29" t="s">
        <v>89</v>
      </c>
      <c r="D259" s="29"/>
      <c r="E259" s="29"/>
      <c r="F259" s="67"/>
      <c r="G259" s="39">
        <v>10316.6</v>
      </c>
      <c r="H259" s="39">
        <v>13652.8</v>
      </c>
      <c r="I259" s="39">
        <v>15430.3</v>
      </c>
      <c r="J259" s="39">
        <v>21938.6</v>
      </c>
      <c r="K259" s="4">
        <v>21768.7</v>
      </c>
      <c r="L259" s="289">
        <f>L48</f>
        <v>24260.87</v>
      </c>
      <c r="M259" s="289">
        <f>M48</f>
        <v>28089.1744</v>
      </c>
      <c r="N259" s="289">
        <f>N48</f>
        <v>32159.833584</v>
      </c>
      <c r="O259" s="289">
        <f>O48</f>
        <v>35307.168606560001</v>
      </c>
      <c r="P259" s="289">
        <f>P48</f>
        <v>38206.913781150404</v>
      </c>
    </row>
    <row r="260" spans="3:16" x14ac:dyDescent="0.25">
      <c r="C260" s="29" t="s">
        <v>90</v>
      </c>
      <c r="D260" s="29"/>
      <c r="E260" s="29"/>
      <c r="F260" s="67"/>
      <c r="G260" s="39">
        <v>3661.9</v>
      </c>
      <c r="H260" s="39">
        <v>4958.2</v>
      </c>
      <c r="I260" s="39">
        <v>5743.1</v>
      </c>
      <c r="J260" s="39">
        <v>5619.9</v>
      </c>
      <c r="K260" s="4">
        <v>6494.2</v>
      </c>
      <c r="L260" s="289">
        <f>L53</f>
        <v>7399.5653499999999</v>
      </c>
      <c r="M260" s="289">
        <f>M53</f>
        <v>8707.6440640000001</v>
      </c>
      <c r="N260" s="289">
        <f>N53</f>
        <v>10130.34757896</v>
      </c>
      <c r="O260" s="289">
        <f>O53</f>
        <v>11298.293954099201</v>
      </c>
      <c r="P260" s="289">
        <f>P53</f>
        <v>12417.246978873882</v>
      </c>
    </row>
    <row r="261" spans="3:16" x14ac:dyDescent="0.25">
      <c r="C261" s="144" t="s">
        <v>91</v>
      </c>
      <c r="D261" s="29"/>
      <c r="E261" s="29"/>
      <c r="F261" s="67"/>
      <c r="G261" s="145">
        <f>G259+G260</f>
        <v>13978.5</v>
      </c>
      <c r="H261" s="145">
        <f t="shared" ref="H261:K261" si="99">H259+H260</f>
        <v>18611</v>
      </c>
      <c r="I261" s="145">
        <f t="shared" si="99"/>
        <v>21173.4</v>
      </c>
      <c r="J261" s="145">
        <f t="shared" si="99"/>
        <v>27558.5</v>
      </c>
      <c r="K261" s="351">
        <f t="shared" si="99"/>
        <v>28262.9</v>
      </c>
      <c r="L261" s="306">
        <f>SUM(L259:L260)</f>
        <v>31660.43535</v>
      </c>
      <c r="M261" s="306">
        <f t="shared" ref="M261:P261" si="100">SUM(M259:M260)</f>
        <v>36796.818463999996</v>
      </c>
      <c r="N261" s="306">
        <f t="shared" si="100"/>
        <v>42290.181162959998</v>
      </c>
      <c r="O261" s="306">
        <f t="shared" si="100"/>
        <v>46605.462560659202</v>
      </c>
      <c r="P261" s="306">
        <f t="shared" si="100"/>
        <v>50624.160760024286</v>
      </c>
    </row>
    <row r="262" spans="3:16" x14ac:dyDescent="0.25">
      <c r="C262" s="29"/>
      <c r="D262" s="29"/>
      <c r="E262" s="29"/>
      <c r="F262" s="67"/>
      <c r="G262" s="39"/>
      <c r="H262" s="39"/>
      <c r="I262" s="39"/>
      <c r="J262" s="39"/>
      <c r="K262" s="4"/>
      <c r="L262" s="307"/>
      <c r="M262" s="307"/>
      <c r="N262" s="307"/>
      <c r="O262" s="307"/>
      <c r="P262" s="307"/>
    </row>
    <row r="263" spans="3:16" x14ac:dyDescent="0.25">
      <c r="C263" s="29" t="s">
        <v>92</v>
      </c>
      <c r="D263" s="29"/>
      <c r="E263" s="29"/>
      <c r="F263" s="67"/>
      <c r="G263" s="39">
        <v>-5597.9</v>
      </c>
      <c r="H263" s="39">
        <v>-6874.5</v>
      </c>
      <c r="I263" s="39">
        <v>-7843.3</v>
      </c>
      <c r="J263" s="4">
        <v>-10439.1</v>
      </c>
      <c r="K263" s="4">
        <v>-10615.1</v>
      </c>
      <c r="L263" s="289">
        <f t="shared" ref="L263:P264" si="101">-L72</f>
        <v>-11887.826299999999</v>
      </c>
      <c r="M263" s="289">
        <f t="shared" si="101"/>
        <v>-13763.695455999999</v>
      </c>
      <c r="N263" s="289">
        <f t="shared" si="101"/>
        <v>-15758.318456159999</v>
      </c>
      <c r="O263" s="289">
        <f t="shared" si="101"/>
        <v>-17300.512617214401</v>
      </c>
      <c r="P263" s="289">
        <f t="shared" si="101"/>
        <v>-18721.387752763698</v>
      </c>
    </row>
    <row r="264" spans="3:16" x14ac:dyDescent="0.25">
      <c r="C264" s="29" t="s">
        <v>93</v>
      </c>
      <c r="D264" s="29"/>
      <c r="E264" s="29"/>
      <c r="F264" s="67"/>
      <c r="G264" s="39">
        <v>-2012</v>
      </c>
      <c r="H264" s="39">
        <v>-2319.1</v>
      </c>
      <c r="I264" s="39">
        <v>-2817.4</v>
      </c>
      <c r="J264" s="39">
        <v>-3345</v>
      </c>
      <c r="K264" s="4">
        <v>-3364</v>
      </c>
      <c r="L264" s="289">
        <f t="shared" si="101"/>
        <v>-4069.7609425000001</v>
      </c>
      <c r="M264" s="289">
        <f t="shared" si="101"/>
        <v>-4789.2042352000008</v>
      </c>
      <c r="N264" s="289">
        <f t="shared" si="101"/>
        <v>-5571.6911684280003</v>
      </c>
      <c r="O264" s="289">
        <f t="shared" si="101"/>
        <v>-6214.061674754561</v>
      </c>
      <c r="P264" s="289">
        <f t="shared" si="101"/>
        <v>-6829.4858383806359</v>
      </c>
    </row>
    <row r="265" spans="3:16" x14ac:dyDescent="0.25">
      <c r="C265" s="144" t="s">
        <v>94</v>
      </c>
      <c r="D265" s="29"/>
      <c r="E265" s="29"/>
      <c r="F265" s="67"/>
      <c r="G265" s="145">
        <f>G263+G264</f>
        <v>-7609.9</v>
      </c>
      <c r="H265" s="145">
        <f t="shared" ref="H265:K265" si="102">H263+H264</f>
        <v>-9193.6</v>
      </c>
      <c r="I265" s="145">
        <f t="shared" si="102"/>
        <v>-10660.7</v>
      </c>
      <c r="J265" s="145">
        <f t="shared" si="102"/>
        <v>-13784.1</v>
      </c>
      <c r="K265" s="351">
        <f t="shared" si="102"/>
        <v>-13979.1</v>
      </c>
      <c r="L265" s="319">
        <f>SUM(L263:L264)</f>
        <v>-15957.587242499998</v>
      </c>
      <c r="M265" s="319">
        <f t="shared" ref="M265:P265" si="103">SUM(M263:M264)</f>
        <v>-18552.8996912</v>
      </c>
      <c r="N265" s="319">
        <f t="shared" si="103"/>
        <v>-21330.009624587998</v>
      </c>
      <c r="O265" s="319">
        <f t="shared" si="103"/>
        <v>-23514.574291968962</v>
      </c>
      <c r="P265" s="319">
        <f t="shared" si="103"/>
        <v>-25550.873591144333</v>
      </c>
    </row>
    <row r="266" spans="3:16" x14ac:dyDescent="0.25">
      <c r="C266" s="29"/>
      <c r="D266" s="29"/>
      <c r="E266" s="29"/>
      <c r="F266" s="67"/>
      <c r="G266" s="39"/>
      <c r="H266" s="39"/>
      <c r="I266" s="39"/>
      <c r="J266" s="39"/>
      <c r="K266" s="4"/>
      <c r="L266" s="307"/>
      <c r="M266" s="307"/>
      <c r="N266" s="307"/>
      <c r="O266" s="307"/>
      <c r="P266" s="307"/>
    </row>
    <row r="267" spans="3:16" x14ac:dyDescent="0.25">
      <c r="C267" s="144" t="s">
        <v>95</v>
      </c>
      <c r="D267" s="29"/>
      <c r="E267" s="29"/>
      <c r="F267" s="67"/>
      <c r="G267" s="47">
        <f>G261+G265</f>
        <v>6368.6</v>
      </c>
      <c r="H267" s="47">
        <f t="shared" ref="H267:K267" si="104">H261+H265</f>
        <v>9417.4</v>
      </c>
      <c r="I267" s="47">
        <f t="shared" si="104"/>
        <v>10512.7</v>
      </c>
      <c r="J267" s="47">
        <f t="shared" si="104"/>
        <v>13774.4</v>
      </c>
      <c r="K267" s="8">
        <f t="shared" si="104"/>
        <v>14283.800000000001</v>
      </c>
      <c r="L267" s="357">
        <f>L261+L265</f>
        <v>15702.848107500002</v>
      </c>
      <c r="M267" s="357">
        <f t="shared" ref="M267:P267" si="105">M261+M265</f>
        <v>18243.918772799996</v>
      </c>
      <c r="N267" s="357">
        <f t="shared" si="105"/>
        <v>20960.171538372</v>
      </c>
      <c r="O267" s="357">
        <f t="shared" si="105"/>
        <v>23090.88826869024</v>
      </c>
      <c r="P267" s="357">
        <f t="shared" si="105"/>
        <v>25073.287168879953</v>
      </c>
    </row>
    <row r="268" spans="3:16" x14ac:dyDescent="0.25">
      <c r="C268" s="29"/>
      <c r="D268" s="29"/>
      <c r="E268" s="29"/>
      <c r="F268" s="67"/>
      <c r="G268" s="39"/>
      <c r="H268" s="39"/>
      <c r="I268" s="39"/>
      <c r="J268" s="39"/>
      <c r="K268" s="4"/>
      <c r="L268" s="307"/>
      <c r="M268" s="307"/>
      <c r="N268" s="307"/>
      <c r="O268" s="307"/>
      <c r="P268" s="307"/>
    </row>
    <row r="269" spans="3:16" x14ac:dyDescent="0.25">
      <c r="C269" s="29" t="s">
        <v>96</v>
      </c>
      <c r="D269" s="29"/>
      <c r="E269" s="29"/>
      <c r="F269" s="133"/>
      <c r="G269" s="39">
        <v>-1579.9</v>
      </c>
      <c r="H269" s="39">
        <v>-1861.6</v>
      </c>
      <c r="I269" s="39">
        <v>-2282.1</v>
      </c>
      <c r="J269" s="39">
        <v>-3113.1</v>
      </c>
      <c r="K269" s="4">
        <v>-3181</v>
      </c>
      <c r="L269" s="289">
        <f t="shared" ref="L269:P270" si="106">-L76</f>
        <v>-3419.3270177999998</v>
      </c>
      <c r="M269" s="289">
        <f t="shared" si="106"/>
        <v>-3974.0563941119995</v>
      </c>
      <c r="N269" s="289">
        <f t="shared" si="106"/>
        <v>-4567.3395655996801</v>
      </c>
      <c r="O269" s="289">
        <f t="shared" si="106"/>
        <v>-5033.3899565511938</v>
      </c>
      <c r="P269" s="289">
        <f t="shared" si="106"/>
        <v>-5467.4093620826225</v>
      </c>
    </row>
    <row r="270" spans="3:16" x14ac:dyDescent="0.25">
      <c r="C270" s="29" t="s">
        <v>97</v>
      </c>
      <c r="D270" s="29"/>
      <c r="E270" s="29"/>
      <c r="F270" s="133"/>
      <c r="G270" s="39">
        <v>-544.9</v>
      </c>
      <c r="H270" s="39">
        <v>-725.6</v>
      </c>
      <c r="I270" s="39">
        <v>-909.6</v>
      </c>
      <c r="J270" s="39">
        <v>-1149.4000000000001</v>
      </c>
      <c r="K270" s="4">
        <v>-1165.7</v>
      </c>
      <c r="L270" s="289">
        <f t="shared" si="106"/>
        <v>-1298.07784935</v>
      </c>
      <c r="M270" s="289">
        <f t="shared" si="106"/>
        <v>-1508.6695570239999</v>
      </c>
      <c r="N270" s="289">
        <f t="shared" si="106"/>
        <v>-1733.8974276813599</v>
      </c>
      <c r="O270" s="289">
        <f t="shared" si="106"/>
        <v>-1910.8239649870272</v>
      </c>
      <c r="P270" s="289">
        <f t="shared" si="106"/>
        <v>-2075.5905911609957</v>
      </c>
    </row>
    <row r="271" spans="3:16" x14ac:dyDescent="0.25">
      <c r="C271" s="29" t="s">
        <v>98</v>
      </c>
      <c r="D271" s="29"/>
      <c r="E271" s="29"/>
      <c r="F271" s="133"/>
      <c r="G271" s="39">
        <v>0</v>
      </c>
      <c r="H271" s="39">
        <v>213.7</v>
      </c>
      <c r="I271" s="39">
        <v>0</v>
      </c>
      <c r="J271" s="39">
        <v>0</v>
      </c>
      <c r="K271" s="4">
        <v>0</v>
      </c>
      <c r="L271" s="358">
        <v>0</v>
      </c>
      <c r="M271" s="358">
        <v>0</v>
      </c>
      <c r="N271" s="358">
        <v>0</v>
      </c>
      <c r="O271" s="358">
        <v>0</v>
      </c>
      <c r="P271" s="358">
        <v>0</v>
      </c>
    </row>
    <row r="272" spans="3:16" x14ac:dyDescent="0.25">
      <c r="C272" s="144" t="s">
        <v>99</v>
      </c>
      <c r="D272" s="29"/>
      <c r="E272" s="29"/>
      <c r="F272" s="133"/>
      <c r="G272" s="145">
        <f>G267+G269+G270+G271</f>
        <v>4243.8000000000011</v>
      </c>
      <c r="H272" s="145">
        <f t="shared" ref="H272:K272" si="107">H267+H269+H270+H271</f>
        <v>7043.8999999999987</v>
      </c>
      <c r="I272" s="145">
        <f t="shared" si="107"/>
        <v>7321</v>
      </c>
      <c r="J272" s="145">
        <f t="shared" si="107"/>
        <v>9511.9</v>
      </c>
      <c r="K272" s="351">
        <f t="shared" si="107"/>
        <v>9937.1</v>
      </c>
      <c r="L272" s="319">
        <f>L267+L269+L270+L271</f>
        <v>10985.443240350001</v>
      </c>
      <c r="M272" s="319">
        <f t="shared" ref="M272:P272" si="108">M267+M269+M270+M271</f>
        <v>12761.192821663997</v>
      </c>
      <c r="N272" s="319">
        <f t="shared" si="108"/>
        <v>14658.93454509096</v>
      </c>
      <c r="O272" s="319">
        <f t="shared" si="108"/>
        <v>16146.67434715202</v>
      </c>
      <c r="P272" s="319">
        <f t="shared" si="108"/>
        <v>17530.287215636337</v>
      </c>
    </row>
    <row r="273" spans="2:16" x14ac:dyDescent="0.25">
      <c r="C273" s="29"/>
      <c r="D273" s="29"/>
      <c r="E273" s="29"/>
      <c r="F273" s="133"/>
      <c r="G273" s="39"/>
      <c r="H273" s="39"/>
      <c r="I273" s="39"/>
      <c r="J273" s="39"/>
      <c r="K273" s="4"/>
      <c r="L273" s="308"/>
      <c r="M273" s="308"/>
      <c r="N273" s="308"/>
      <c r="O273" s="308"/>
      <c r="P273" s="308"/>
    </row>
    <row r="274" spans="2:16" x14ac:dyDescent="0.25">
      <c r="C274" s="29" t="s">
        <v>100</v>
      </c>
      <c r="D274" s="62"/>
      <c r="E274" s="62"/>
      <c r="F274" s="63"/>
      <c r="G274" s="39">
        <v>8.4</v>
      </c>
      <c r="H274" s="39">
        <v>10</v>
      </c>
      <c r="I274" s="39">
        <v>16.2</v>
      </c>
      <c r="J274" s="39">
        <v>193.9</v>
      </c>
      <c r="K274" s="4">
        <v>182.4</v>
      </c>
      <c r="L274" s="289">
        <f>L189</f>
        <v>254.71799999999999</v>
      </c>
      <c r="M274" s="289">
        <f>M189</f>
        <v>275.36342107367045</v>
      </c>
      <c r="N274" s="289">
        <f>N189</f>
        <v>363.84944644706934</v>
      </c>
      <c r="O274" s="289">
        <f>O189</f>
        <v>456.80991454642316</v>
      </c>
      <c r="P274" s="289">
        <f>P189</f>
        <v>571.23694999389443</v>
      </c>
    </row>
    <row r="275" spans="2:16" x14ac:dyDescent="0.25">
      <c r="C275" s="29" t="s">
        <v>101</v>
      </c>
      <c r="D275" s="62"/>
      <c r="E275" s="62"/>
      <c r="F275" s="63"/>
      <c r="G275" s="39">
        <v>-43.3</v>
      </c>
      <c r="H275" s="39">
        <v>-54.6</v>
      </c>
      <c r="I275" s="39">
        <v>-60.8</v>
      </c>
      <c r="J275" s="39">
        <v>-152.69999999999999</v>
      </c>
      <c r="K275" s="4">
        <v>-162.6</v>
      </c>
      <c r="L275" s="289">
        <f>-(L205+L214)</f>
        <v>-128.70550000000003</v>
      </c>
      <c r="M275" s="289">
        <f>-(M205+M214)</f>
        <v>-111.20550000000001</v>
      </c>
      <c r="N275" s="289">
        <f>-(N205+N214)</f>
        <v>-93.705500000000015</v>
      </c>
      <c r="O275" s="289">
        <f>-(O205+O214)</f>
        <v>-76.205500000000015</v>
      </c>
      <c r="P275" s="289">
        <f>-(P205+P214)</f>
        <v>-58.705500000000015</v>
      </c>
    </row>
    <row r="276" spans="2:16" x14ac:dyDescent="0.25">
      <c r="C276" s="144" t="s">
        <v>102</v>
      </c>
      <c r="D276" s="29"/>
      <c r="E276" s="29"/>
      <c r="F276" s="64"/>
      <c r="G276" s="145">
        <f>G272+G274+G275</f>
        <v>4208.9000000000005</v>
      </c>
      <c r="H276" s="145">
        <f t="shared" ref="H276:K276" si="109">H272+H274+H275</f>
        <v>6999.2999999999984</v>
      </c>
      <c r="I276" s="145">
        <f t="shared" si="109"/>
        <v>7276.4</v>
      </c>
      <c r="J276" s="145">
        <f t="shared" si="109"/>
        <v>9553.0999999999985</v>
      </c>
      <c r="K276" s="351">
        <f t="shared" si="109"/>
        <v>9956.9</v>
      </c>
      <c r="L276" s="319">
        <f>L272+L274+L275</f>
        <v>11111.455740350002</v>
      </c>
      <c r="M276" s="319">
        <f t="shared" ref="M276:P276" si="110">M272+M274+M275</f>
        <v>12925.350742737668</v>
      </c>
      <c r="N276" s="319">
        <f t="shared" si="110"/>
        <v>14929.07849153803</v>
      </c>
      <c r="O276" s="319">
        <f t="shared" si="110"/>
        <v>16527.278761698442</v>
      </c>
      <c r="P276" s="319">
        <f t="shared" si="110"/>
        <v>18042.818665630231</v>
      </c>
    </row>
    <row r="277" spans="2:16" x14ac:dyDescent="0.25">
      <c r="C277" s="29"/>
      <c r="D277" s="29"/>
      <c r="E277" s="29"/>
      <c r="F277" s="64"/>
      <c r="G277" s="39"/>
      <c r="H277" s="39"/>
      <c r="I277" s="39"/>
      <c r="J277" s="39"/>
      <c r="K277" s="4"/>
      <c r="L277" s="308"/>
      <c r="M277" s="308"/>
      <c r="N277" s="308"/>
      <c r="O277" s="308"/>
      <c r="P277" s="308"/>
    </row>
    <row r="278" spans="2:16" x14ac:dyDescent="0.25">
      <c r="C278" s="29" t="s">
        <v>103</v>
      </c>
      <c r="D278" s="29"/>
      <c r="E278" s="29"/>
      <c r="F278" s="133"/>
      <c r="G278" s="39">
        <v>-600.70000000000005</v>
      </c>
      <c r="H278" s="39">
        <v>-1063.8</v>
      </c>
      <c r="I278" s="39">
        <v>-1018.6</v>
      </c>
      <c r="J278" s="39">
        <v>-1629.2</v>
      </c>
      <c r="K278" s="4">
        <v>-1817.7</v>
      </c>
      <c r="L278" s="289">
        <f>-L133</f>
        <v>-1777.8329184560005</v>
      </c>
      <c r="M278" s="289">
        <f>-M133</f>
        <v>-2068.056118838027</v>
      </c>
      <c r="N278" s="289">
        <f>-N133</f>
        <v>-2388.6525586460848</v>
      </c>
      <c r="O278" s="289">
        <f>-O133</f>
        <v>-2644.3646018717509</v>
      </c>
      <c r="P278" s="289">
        <f>-P133</f>
        <v>-2886.8509865008373</v>
      </c>
    </row>
    <row r="279" spans="2:16" x14ac:dyDescent="0.25">
      <c r="C279" s="144" t="s">
        <v>104</v>
      </c>
      <c r="D279" s="29"/>
      <c r="E279" s="29"/>
      <c r="F279" s="29"/>
      <c r="G279" s="145">
        <f>G276+G278</f>
        <v>3608.2000000000007</v>
      </c>
      <c r="H279" s="145">
        <f t="shared" ref="H279:K279" si="111">H276+H278</f>
        <v>5935.4999999999982</v>
      </c>
      <c r="I279" s="145">
        <f t="shared" si="111"/>
        <v>6257.7999999999993</v>
      </c>
      <c r="J279" s="145">
        <f t="shared" si="111"/>
        <v>7923.8999999999987</v>
      </c>
      <c r="K279" s="351">
        <f t="shared" si="111"/>
        <v>8139.2</v>
      </c>
      <c r="L279" s="319">
        <f>L276+L278</f>
        <v>9333.6228218940014</v>
      </c>
      <c r="M279" s="319">
        <f t="shared" ref="M279:P279" si="112">M276+M278</f>
        <v>10857.294623899641</v>
      </c>
      <c r="N279" s="319">
        <f t="shared" si="112"/>
        <v>12540.425932891945</v>
      </c>
      <c r="O279" s="319">
        <f t="shared" si="112"/>
        <v>13882.914159826691</v>
      </c>
      <c r="P279" s="319">
        <f t="shared" si="112"/>
        <v>15155.967679129393</v>
      </c>
    </row>
    <row r="280" spans="2:16" x14ac:dyDescent="0.25">
      <c r="C280" s="29"/>
      <c r="D280" s="29"/>
      <c r="E280" s="29"/>
      <c r="F280" s="29"/>
      <c r="G280" s="39"/>
      <c r="H280" s="39"/>
      <c r="I280" s="39"/>
      <c r="J280" s="39"/>
      <c r="K280" s="4"/>
      <c r="L280" s="308"/>
      <c r="M280" s="308"/>
      <c r="N280" s="308"/>
      <c r="O280" s="308"/>
      <c r="P280" s="308"/>
    </row>
    <row r="281" spans="2:16" x14ac:dyDescent="0.25">
      <c r="C281" s="29" t="s">
        <v>105</v>
      </c>
      <c r="D281" s="29"/>
      <c r="E281" s="29"/>
      <c r="F281" s="29"/>
      <c r="G281" s="39">
        <v>88.6</v>
      </c>
      <c r="H281" s="39">
        <v>199.1</v>
      </c>
      <c r="I281" s="39">
        <v>138</v>
      </c>
      <c r="J281" s="39">
        <v>191.3</v>
      </c>
      <c r="K281" s="4">
        <v>209.8</v>
      </c>
      <c r="L281" s="289">
        <f>(1+Assumptions!M60)*Model!K281</f>
        <v>215.04499999999999</v>
      </c>
      <c r="M281" s="289">
        <f>(1+Assumptions!N60)*Model!L281</f>
        <v>220.42112499999996</v>
      </c>
      <c r="N281" s="289">
        <f>(1+Assumptions!O60)*Model!M281</f>
        <v>225.93165312499994</v>
      </c>
      <c r="O281" s="289">
        <f>(1+Assumptions!P60)*Model!N281</f>
        <v>231.57994445312491</v>
      </c>
      <c r="P281" s="289">
        <f>(1+Assumptions!Q60)*Model!O281</f>
        <v>237.36944306445301</v>
      </c>
    </row>
    <row r="282" spans="2:16" x14ac:dyDescent="0.25">
      <c r="B282" s="45"/>
      <c r="C282" s="144" t="s">
        <v>20</v>
      </c>
      <c r="D282" s="29"/>
      <c r="E282" s="29"/>
      <c r="F282" s="29"/>
      <c r="G282" s="149">
        <f>G279+G281</f>
        <v>3696.8000000000006</v>
      </c>
      <c r="H282" s="149">
        <f t="shared" ref="H282:K282" si="113">H279+H281</f>
        <v>6134.5999999999985</v>
      </c>
      <c r="I282" s="149">
        <f t="shared" si="113"/>
        <v>6395.7999999999993</v>
      </c>
      <c r="J282" s="149">
        <f t="shared" si="113"/>
        <v>8115.1999999999989</v>
      </c>
      <c r="K282" s="263">
        <f t="shared" si="113"/>
        <v>8349</v>
      </c>
      <c r="L282" s="356">
        <f>L279+L281</f>
        <v>9548.6678218940015</v>
      </c>
      <c r="M282" s="356">
        <f t="shared" ref="M282:P282" si="114">M279+M281</f>
        <v>11077.715748899642</v>
      </c>
      <c r="N282" s="356">
        <f t="shared" si="114"/>
        <v>12766.357586016946</v>
      </c>
      <c r="O282" s="356">
        <f t="shared" si="114"/>
        <v>14114.494104279816</v>
      </c>
      <c r="P282" s="356">
        <f t="shared" si="114"/>
        <v>15393.337122193847</v>
      </c>
    </row>
    <row r="283" spans="2:16" x14ac:dyDescent="0.25">
      <c r="B283" s="45"/>
      <c r="G283" s="37"/>
      <c r="L283" s="287"/>
      <c r="M283" s="287"/>
      <c r="N283" s="287"/>
      <c r="O283" s="287"/>
      <c r="P283" s="287"/>
    </row>
    <row r="284" spans="2:16" x14ac:dyDescent="0.25">
      <c r="B284" s="45"/>
      <c r="G284" s="37"/>
      <c r="L284" s="287"/>
      <c r="M284" s="287"/>
      <c r="N284" s="287"/>
      <c r="O284" s="287"/>
      <c r="P284" s="287"/>
    </row>
    <row r="285" spans="2:16" x14ac:dyDescent="0.25">
      <c r="B285" s="366" t="s">
        <v>226</v>
      </c>
      <c r="C285" s="78"/>
      <c r="D285" s="78"/>
      <c r="E285" s="78"/>
      <c r="F285" s="78"/>
      <c r="G285" s="367"/>
      <c r="H285" s="78"/>
      <c r="I285" s="78"/>
      <c r="J285" s="78"/>
      <c r="K285" s="345"/>
      <c r="L285" s="368"/>
      <c r="M285" s="368"/>
      <c r="N285" s="368"/>
      <c r="O285" s="368"/>
      <c r="P285" s="369"/>
    </row>
    <row r="286" spans="2:16" x14ac:dyDescent="0.25">
      <c r="B286" s="365"/>
      <c r="C286" s="19" t="s">
        <v>222</v>
      </c>
      <c r="G286" s="39">
        <f>G272+G305</f>
        <v>5162.2000000000007</v>
      </c>
      <c r="H286" s="39">
        <f t="shared" ref="H286:K286" si="115">H272+H305</f>
        <v>7906.4999999999991</v>
      </c>
      <c r="I286" s="39">
        <f t="shared" si="115"/>
        <v>8196.9</v>
      </c>
      <c r="J286" s="39">
        <f t="shared" si="115"/>
        <v>10559.4</v>
      </c>
      <c r="K286" s="39">
        <f t="shared" si="115"/>
        <v>11137.2</v>
      </c>
      <c r="L286" s="289">
        <f>L272+L305</f>
        <v>12834.601284233335</v>
      </c>
      <c r="M286" s="289">
        <f t="shared" ref="M286:P286" si="116">M272+M305</f>
        <v>14801.366831669329</v>
      </c>
      <c r="N286" s="289">
        <f t="shared" si="116"/>
        <v>17095.417532492374</v>
      </c>
      <c r="O286" s="289">
        <f t="shared" si="116"/>
        <v>19222.729342846596</v>
      </c>
      <c r="P286" s="310">
        <f t="shared" si="116"/>
        <v>21109.198152984365</v>
      </c>
    </row>
    <row r="287" spans="2:16" x14ac:dyDescent="0.25">
      <c r="B287" s="365"/>
      <c r="C287" s="19" t="s">
        <v>223</v>
      </c>
      <c r="G287" s="380">
        <f>G286/G261</f>
        <v>0.36929570411703694</v>
      </c>
      <c r="H287" s="380">
        <f t="shared" ref="H287:K287" si="117">H286/H261</f>
        <v>0.42482940196657887</v>
      </c>
      <c r="I287" s="380">
        <f t="shared" si="117"/>
        <v>0.38713196746861622</v>
      </c>
      <c r="J287" s="380">
        <f t="shared" si="117"/>
        <v>0.38316308942794419</v>
      </c>
      <c r="K287" s="380">
        <f t="shared" si="117"/>
        <v>0.3940572269653857</v>
      </c>
      <c r="L287" s="268">
        <f>IFERROR(L286/L55,0)</f>
        <v>0.40538296907004895</v>
      </c>
      <c r="M287" s="268">
        <f t="shared" ref="M287:P287" si="118">IFERROR(M286/M55,0)</f>
        <v>0.40224583128430469</v>
      </c>
      <c r="N287" s="268">
        <f t="shared" si="118"/>
        <v>0.40424082050198107</v>
      </c>
      <c r="O287" s="268">
        <f t="shared" si="118"/>
        <v>0.41245657239915406</v>
      </c>
      <c r="P287" s="379">
        <f t="shared" si="118"/>
        <v>0.41697872786571483</v>
      </c>
    </row>
    <row r="288" spans="2:16" x14ac:dyDescent="0.25">
      <c r="B288" s="365"/>
      <c r="C288" s="19" t="s">
        <v>224</v>
      </c>
      <c r="G288" s="380">
        <f>G272/G261</f>
        <v>0.30359480630968994</v>
      </c>
      <c r="H288" s="380">
        <f t="shared" ref="H288:K288" si="119">H272/H261</f>
        <v>0.37848046854011064</v>
      </c>
      <c r="I288" s="380">
        <f t="shared" si="119"/>
        <v>0.34576402467246636</v>
      </c>
      <c r="J288" s="380">
        <f t="shared" si="119"/>
        <v>0.34515303808262421</v>
      </c>
      <c r="K288" s="380">
        <f t="shared" si="119"/>
        <v>0.35159520077557505</v>
      </c>
      <c r="L288" s="268">
        <f>IFERROR(L272/L55,0)</f>
        <v>0.34697701149425292</v>
      </c>
      <c r="M288" s="268">
        <f t="shared" ref="M288:P288" si="120">IFERROR(M272/M55,0)</f>
        <v>0.34680152671755721</v>
      </c>
      <c r="N288" s="268">
        <f t="shared" si="120"/>
        <v>0.34662737642585556</v>
      </c>
      <c r="O288" s="268">
        <f t="shared" si="120"/>
        <v>0.34645454545454546</v>
      </c>
      <c r="P288" s="379">
        <f t="shared" si="120"/>
        <v>0.34628301886792456</v>
      </c>
    </row>
    <row r="289" spans="1:16" x14ac:dyDescent="0.25">
      <c r="B289" s="365"/>
      <c r="C289" s="19" t="s">
        <v>225</v>
      </c>
      <c r="G289" s="380">
        <f>G282/G261</f>
        <v>0.26446328289873738</v>
      </c>
      <c r="H289" s="380">
        <f t="shared" ref="H289:K289" si="121">H282/H261</f>
        <v>0.32962226640159037</v>
      </c>
      <c r="I289" s="380">
        <f t="shared" si="121"/>
        <v>0.30206768870375089</v>
      </c>
      <c r="J289" s="380">
        <f t="shared" si="121"/>
        <v>0.29447176007402431</v>
      </c>
      <c r="K289" s="380">
        <f t="shared" si="121"/>
        <v>0.29540493013809621</v>
      </c>
      <c r="L289" s="268">
        <f>IFERROR(L282/L261,0)</f>
        <v>0.30159622621531645</v>
      </c>
      <c r="M289" s="268">
        <f t="shared" ref="M289:P289" si="122">IFERROR(M282/M261,0)</f>
        <v>0.30105091177209997</v>
      </c>
      <c r="N289" s="268">
        <f t="shared" si="122"/>
        <v>0.30187521630194397</v>
      </c>
      <c r="O289" s="268">
        <f t="shared" si="122"/>
        <v>0.30285063871877976</v>
      </c>
      <c r="P289" s="379">
        <f t="shared" si="122"/>
        <v>0.30407095922366972</v>
      </c>
    </row>
    <row r="290" spans="1:16" x14ac:dyDescent="0.25">
      <c r="B290" s="381"/>
      <c r="C290" s="54" t="s">
        <v>227</v>
      </c>
      <c r="D290" s="54"/>
      <c r="E290" s="54"/>
      <c r="F290" s="54"/>
      <c r="G290" s="382"/>
      <c r="H290" s="382">
        <f>H282/((G385+H385)/2)</f>
        <v>0.45199246998493253</v>
      </c>
      <c r="I290" s="382">
        <f t="shared" ref="I290:K290" si="123">I282/((H385+I385)/2)</f>
        <v>0.55303547804131459</v>
      </c>
      <c r="J290" s="382">
        <f t="shared" si="123"/>
        <v>0.59029295702933204</v>
      </c>
      <c r="K290" s="382">
        <f t="shared" si="123"/>
        <v>0.43676140554622639</v>
      </c>
      <c r="L290" s="383">
        <f>IFERROR(L282/((K385+L385)/2),0)</f>
        <v>0.39376759483604606</v>
      </c>
      <c r="M290" s="383">
        <f t="shared" ref="M290:P290" si="124">IFERROR(M282/((L385+M385)/2),0)</f>
        <v>0.38118077025373875</v>
      </c>
      <c r="N290" s="383">
        <f t="shared" si="124"/>
        <v>0.36871182971328548</v>
      </c>
      <c r="O290" s="383">
        <f t="shared" si="124"/>
        <v>0.34514284016822716</v>
      </c>
      <c r="P290" s="384">
        <f t="shared" si="124"/>
        <v>0.32219149480781945</v>
      </c>
    </row>
    <row r="291" spans="1:16" x14ac:dyDescent="0.25">
      <c r="B291" s="45"/>
      <c r="G291" s="37"/>
      <c r="L291" s="287"/>
      <c r="M291" s="287"/>
      <c r="N291" s="287"/>
      <c r="O291" s="287"/>
      <c r="P291" s="287"/>
    </row>
    <row r="292" spans="1:16" x14ac:dyDescent="0.25">
      <c r="B292" s="45"/>
      <c r="G292" s="37"/>
      <c r="L292" s="287"/>
      <c r="M292" s="287"/>
      <c r="N292" s="287"/>
      <c r="O292" s="287"/>
      <c r="P292" s="287"/>
    </row>
    <row r="293" spans="1:16" x14ac:dyDescent="0.25">
      <c r="B293" s="54"/>
      <c r="C293" s="54"/>
      <c r="D293" s="54"/>
      <c r="E293" s="54"/>
      <c r="F293" s="55"/>
      <c r="G293" s="55"/>
      <c r="H293" s="54"/>
      <c r="I293" s="54"/>
      <c r="J293" s="54"/>
      <c r="K293" s="340"/>
      <c r="L293" s="293"/>
      <c r="M293" s="293"/>
      <c r="N293" s="293"/>
      <c r="O293" s="293"/>
      <c r="P293" s="293"/>
    </row>
    <row r="294" spans="1:16" x14ac:dyDescent="0.25">
      <c r="L294" s="283"/>
      <c r="M294" s="283"/>
      <c r="N294" s="283"/>
      <c r="O294" s="283"/>
      <c r="P294" s="283"/>
    </row>
    <row r="295" spans="1:16" x14ac:dyDescent="0.25">
      <c r="L295" s="283"/>
      <c r="M295" s="283"/>
      <c r="N295" s="283"/>
      <c r="O295" s="283"/>
      <c r="P295" s="276" t="str">
        <f>$P$1</f>
        <v>CURRENTLY RUNNING: BASE CASE SCENARIO</v>
      </c>
    </row>
    <row r="296" spans="1:16" ht="22.8" x14ac:dyDescent="0.4">
      <c r="A296" s="20"/>
      <c r="B296" s="21" t="str">
        <f>Assumptions!$C$2</f>
        <v>ASML</v>
      </c>
      <c r="C296" s="17"/>
      <c r="D296" s="17"/>
      <c r="E296" s="17"/>
      <c r="F296" s="18"/>
      <c r="G296" s="18"/>
      <c r="H296" s="17"/>
      <c r="I296" s="17"/>
      <c r="J296" s="17"/>
      <c r="K296" s="326"/>
      <c r="L296" s="294"/>
      <c r="M296" s="294"/>
      <c r="N296" s="294"/>
      <c r="O296" s="294"/>
      <c r="P296" s="294"/>
    </row>
    <row r="297" spans="1:16" ht="17.399999999999999" x14ac:dyDescent="0.3">
      <c r="A297" s="22"/>
      <c r="B297" s="23" t="s">
        <v>30</v>
      </c>
      <c r="C297" s="24"/>
      <c r="D297" s="24"/>
      <c r="E297" s="24"/>
      <c r="F297" s="25"/>
      <c r="G297" s="25"/>
      <c r="H297" s="24"/>
      <c r="I297" s="24"/>
      <c r="J297" s="24"/>
      <c r="K297" s="327"/>
      <c r="L297" s="295"/>
      <c r="M297" s="295"/>
      <c r="N297" s="295"/>
      <c r="O297" s="295"/>
      <c r="P297" s="295"/>
    </row>
    <row r="298" spans="1:16" ht="18" thickBot="1" x14ac:dyDescent="0.35">
      <c r="A298" s="22"/>
      <c r="B298" s="26"/>
      <c r="C298" s="27"/>
      <c r="D298" s="27"/>
      <c r="E298" s="27"/>
      <c r="F298" s="28"/>
      <c r="G298" s="28"/>
      <c r="H298" s="27"/>
      <c r="I298" s="27"/>
      <c r="J298" s="27"/>
      <c r="K298" s="328"/>
      <c r="L298" s="296"/>
      <c r="M298" s="296"/>
      <c r="N298" s="296"/>
      <c r="O298" s="296"/>
      <c r="P298" s="296"/>
    </row>
    <row r="299" spans="1:16" ht="17.399999999999999" x14ac:dyDescent="0.3">
      <c r="A299" s="23"/>
      <c r="B299" s="533" t="s">
        <v>319</v>
      </c>
      <c r="C299" s="24"/>
      <c r="D299" s="24"/>
      <c r="E299" s="24"/>
      <c r="F299" s="25"/>
      <c r="G299" s="25"/>
      <c r="H299" s="24"/>
      <c r="I299" s="24"/>
      <c r="J299" s="24"/>
      <c r="K299" s="327"/>
      <c r="L299" s="295"/>
      <c r="M299" s="295"/>
      <c r="N299" s="295"/>
      <c r="O299" s="295"/>
      <c r="P299" s="295"/>
    </row>
    <row r="300" spans="1:16" x14ac:dyDescent="0.25">
      <c r="F300" s="30"/>
      <c r="G300" s="31"/>
      <c r="L300" s="297" t="s">
        <v>1</v>
      </c>
      <c r="M300" s="298"/>
      <c r="N300" s="298"/>
      <c r="O300" s="298"/>
      <c r="P300" s="298"/>
    </row>
    <row r="301" spans="1:16" x14ac:dyDescent="0.25">
      <c r="F301" s="30"/>
      <c r="G301" s="32">
        <f>G$7</f>
        <v>2020</v>
      </c>
      <c r="H301" s="32">
        <f t="shared" ref="H301:P301" si="125">H$7</f>
        <v>2021</v>
      </c>
      <c r="I301" s="32">
        <f t="shared" si="125"/>
        <v>2022</v>
      </c>
      <c r="J301" s="32">
        <f t="shared" si="125"/>
        <v>2023</v>
      </c>
      <c r="K301" s="14">
        <f t="shared" si="125"/>
        <v>2024</v>
      </c>
      <c r="L301" s="316">
        <f t="shared" si="125"/>
        <v>2025</v>
      </c>
      <c r="M301" s="316">
        <f t="shared" si="125"/>
        <v>2026</v>
      </c>
      <c r="N301" s="316">
        <f t="shared" si="125"/>
        <v>2027</v>
      </c>
      <c r="O301" s="316">
        <f t="shared" si="125"/>
        <v>2028</v>
      </c>
      <c r="P301" s="316">
        <f t="shared" si="125"/>
        <v>2029</v>
      </c>
    </row>
    <row r="302" spans="1:16" x14ac:dyDescent="0.25">
      <c r="F302" s="30"/>
      <c r="G302" s="30"/>
      <c r="I302" s="35"/>
      <c r="J302" s="35"/>
      <c r="K302" s="2"/>
      <c r="L302" s="283"/>
      <c r="M302" s="283"/>
      <c r="N302" s="283"/>
      <c r="O302" s="283"/>
      <c r="P302" s="283"/>
    </row>
    <row r="303" spans="1:16" x14ac:dyDescent="0.25">
      <c r="B303" s="45"/>
      <c r="F303" s="37"/>
      <c r="G303" s="37"/>
      <c r="I303" s="35"/>
      <c r="J303" s="35"/>
      <c r="K303" s="2"/>
      <c r="L303" s="283"/>
      <c r="M303" s="283"/>
      <c r="N303" s="283"/>
      <c r="O303" s="283"/>
      <c r="P303" s="283"/>
    </row>
    <row r="304" spans="1:16" x14ac:dyDescent="0.25">
      <c r="C304" s="19" t="s">
        <v>20</v>
      </c>
      <c r="F304" s="37"/>
      <c r="G304" s="39">
        <v>3696.8</v>
      </c>
      <c r="H304" s="39">
        <v>6134.6</v>
      </c>
      <c r="I304" s="39">
        <v>6395.8</v>
      </c>
      <c r="J304" s="39">
        <v>8115.2</v>
      </c>
      <c r="K304" s="4">
        <v>8349</v>
      </c>
      <c r="L304" s="289">
        <f>L282</f>
        <v>9548.6678218940015</v>
      </c>
      <c r="M304" s="289">
        <f t="shared" ref="M304:P304" si="126">M282</f>
        <v>11077.715748899642</v>
      </c>
      <c r="N304" s="289">
        <f t="shared" si="126"/>
        <v>12766.357586016946</v>
      </c>
      <c r="O304" s="289">
        <f t="shared" si="126"/>
        <v>14114.494104279816</v>
      </c>
      <c r="P304" s="289">
        <f t="shared" si="126"/>
        <v>15393.337122193847</v>
      </c>
    </row>
    <row r="305" spans="2:16" x14ac:dyDescent="0.25">
      <c r="C305" s="19" t="s">
        <v>107</v>
      </c>
      <c r="F305" s="37"/>
      <c r="G305" s="39">
        <v>918.4</v>
      </c>
      <c r="H305" s="39">
        <v>862.6</v>
      </c>
      <c r="I305" s="39">
        <v>875.9</v>
      </c>
      <c r="J305" s="39">
        <v>1047.5</v>
      </c>
      <c r="K305" s="4">
        <v>1200.0999999999999</v>
      </c>
      <c r="L305" s="289">
        <f>L107+(K359+ABS(L315)-L359)</f>
        <v>1849.1580438833328</v>
      </c>
      <c r="M305" s="289">
        <f t="shared" ref="M305:P305" si="127">M107+(L359+ABS(M315)-M359)</f>
        <v>2040.1740100053328</v>
      </c>
      <c r="N305" s="289">
        <f t="shared" si="127"/>
        <v>2436.4829874014131</v>
      </c>
      <c r="O305" s="289">
        <f t="shared" si="127"/>
        <v>3076.0549956945752</v>
      </c>
      <c r="P305" s="289">
        <f t="shared" si="127"/>
        <v>3578.9109373480292</v>
      </c>
    </row>
    <row r="306" spans="2:16" x14ac:dyDescent="0.25">
      <c r="C306" s="19" t="s">
        <v>108</v>
      </c>
      <c r="F306" s="37"/>
      <c r="G306" s="39">
        <v>-175.8</v>
      </c>
      <c r="H306" s="39">
        <v>-487.9</v>
      </c>
      <c r="I306" s="39">
        <v>-774.7</v>
      </c>
      <c r="J306" s="39">
        <v>233.2</v>
      </c>
      <c r="K306" s="4">
        <v>-38.1</v>
      </c>
      <c r="L306" s="289">
        <f>L132</f>
        <v>35.556658369119987</v>
      </c>
      <c r="M306" s="289">
        <f t="shared" ref="M306:P306" si="128">M132</f>
        <v>41.361122376760477</v>
      </c>
      <c r="N306" s="289">
        <f t="shared" si="128"/>
        <v>47.773051172921896</v>
      </c>
      <c r="O306" s="289">
        <f t="shared" si="128"/>
        <v>52.887292037435145</v>
      </c>
      <c r="P306" s="289">
        <f t="shared" si="128"/>
        <v>57.737019730016527</v>
      </c>
    </row>
    <row r="307" spans="2:16" x14ac:dyDescent="0.25">
      <c r="C307" s="19" t="s">
        <v>106</v>
      </c>
      <c r="F307" s="37"/>
      <c r="G307" s="39">
        <v>62.9</v>
      </c>
      <c r="H307" s="39">
        <v>131.69999999999999</v>
      </c>
      <c r="I307" s="39">
        <v>66.400000000000006</v>
      </c>
      <c r="J307" s="39">
        <v>139.80000000000001</v>
      </c>
      <c r="K307" s="4">
        <v>182.1</v>
      </c>
      <c r="L307" s="289">
        <f>Assumptions!M62*Model!L261</f>
        <v>158.30217675</v>
      </c>
      <c r="M307" s="289">
        <f>Assumptions!N62*Model!M261</f>
        <v>183.98409231999997</v>
      </c>
      <c r="N307" s="289">
        <f>Assumptions!O62*Model!N261</f>
        <v>211.4509058148</v>
      </c>
      <c r="O307" s="289">
        <f>Assumptions!P62*Model!O261</f>
        <v>233.02731280329601</v>
      </c>
      <c r="P307" s="289">
        <f>Assumptions!Q62*Model!P261</f>
        <v>253.12080380012142</v>
      </c>
    </row>
    <row r="308" spans="2:16" x14ac:dyDescent="0.25">
      <c r="C308" s="19" t="s">
        <v>109</v>
      </c>
      <c r="F308" s="37"/>
      <c r="G308" s="39">
        <v>595.39999999999986</v>
      </c>
      <c r="H308" s="39">
        <v>5050.3</v>
      </c>
      <c r="I308" s="39">
        <v>2538.3999999999996</v>
      </c>
      <c r="J308" s="39">
        <v>-3526.5</v>
      </c>
      <c r="K308" s="4">
        <v>2081.6999999999998</v>
      </c>
      <c r="L308" s="289">
        <f>L170</f>
        <v>649.8737136643831</v>
      </c>
      <c r="M308" s="289">
        <f t="shared" ref="M308:P308" si="129">M170</f>
        <v>603.70453808356615</v>
      </c>
      <c r="N308" s="289">
        <f t="shared" si="129"/>
        <v>357.0193649923167</v>
      </c>
      <c r="O308" s="289">
        <f t="shared" si="129"/>
        <v>628.61121266609189</v>
      </c>
      <c r="P308" s="289">
        <f t="shared" si="129"/>
        <v>337.85829850462687</v>
      </c>
    </row>
    <row r="309" spans="2:16" x14ac:dyDescent="0.25">
      <c r="C309" s="19" t="s">
        <v>105</v>
      </c>
      <c r="F309" s="37"/>
      <c r="G309" s="39"/>
      <c r="H309" s="39"/>
      <c r="I309" s="39"/>
      <c r="J309" s="39"/>
      <c r="K309" s="4"/>
      <c r="L309" s="289">
        <f>-L281</f>
        <v>-215.04499999999999</v>
      </c>
      <c r="M309" s="289">
        <f t="shared" ref="M309:P309" si="130">-M281</f>
        <v>-220.42112499999996</v>
      </c>
      <c r="N309" s="289">
        <f t="shared" si="130"/>
        <v>-225.93165312499994</v>
      </c>
      <c r="O309" s="289">
        <f t="shared" si="130"/>
        <v>-231.57994445312491</v>
      </c>
      <c r="P309" s="289">
        <f t="shared" si="130"/>
        <v>-237.36944306445301</v>
      </c>
    </row>
    <row r="310" spans="2:16" x14ac:dyDescent="0.25">
      <c r="C310" s="19" t="s">
        <v>137</v>
      </c>
      <c r="F310" s="37"/>
      <c r="G310" s="39">
        <v>208.90000000000032</v>
      </c>
      <c r="H310" s="39">
        <v>-98.700000000000728</v>
      </c>
      <c r="I310" s="39">
        <v>333.09999999999991</v>
      </c>
      <c r="J310" s="39">
        <v>527</v>
      </c>
      <c r="K310" s="4">
        <v>594.900000000001</v>
      </c>
      <c r="L310" s="289">
        <v>0</v>
      </c>
      <c r="M310" s="289">
        <v>0</v>
      </c>
      <c r="N310" s="289">
        <v>0</v>
      </c>
      <c r="O310" s="289">
        <v>0</v>
      </c>
      <c r="P310" s="289">
        <v>0</v>
      </c>
    </row>
    <row r="311" spans="2:16" x14ac:dyDescent="0.25">
      <c r="C311" s="19" t="s">
        <v>134</v>
      </c>
      <c r="F311" s="37"/>
      <c r="G311" s="39"/>
      <c r="H311" s="39"/>
      <c r="I311" s="39"/>
      <c r="J311" s="39"/>
      <c r="K311" s="4"/>
      <c r="L311" s="289">
        <f>(L375-K375)+(L376-K376)</f>
        <v>285.88847616438494</v>
      </c>
      <c r="M311" s="289">
        <f>(M375-L375)+(M376-L376)</f>
        <v>970.20839027945146</v>
      </c>
      <c r="N311" s="289">
        <f t="shared" ref="N311:P311" si="131">(N375-M375)+(N376-M376)</f>
        <v>805.38595129961595</v>
      </c>
      <c r="O311" s="289">
        <f t="shared" si="131"/>
        <v>771.37481276529036</v>
      </c>
      <c r="P311" s="289">
        <f t="shared" si="131"/>
        <v>486.82725061554078</v>
      </c>
    </row>
    <row r="312" spans="2:16" x14ac:dyDescent="0.25">
      <c r="C312" s="56" t="s">
        <v>64</v>
      </c>
      <c r="F312" s="37"/>
      <c r="G312" s="145">
        <f>SUM(G304:G310)</f>
        <v>5306.5999999999995</v>
      </c>
      <c r="H312" s="145">
        <f t="shared" ref="H312:K312" si="132">SUM(H304:H310)</f>
        <v>11592.6</v>
      </c>
      <c r="I312" s="145">
        <f t="shared" si="132"/>
        <v>9434.9</v>
      </c>
      <c r="J312" s="145">
        <f t="shared" si="132"/>
        <v>6536.2000000000007</v>
      </c>
      <c r="K312" s="351">
        <f t="shared" si="132"/>
        <v>12369.7</v>
      </c>
      <c r="L312" s="319">
        <f>SUM(L304:L311)</f>
        <v>12312.401890725223</v>
      </c>
      <c r="M312" s="319">
        <f t="shared" ref="M312:P312" si="133">SUM(M304:M311)</f>
        <v>14696.726776964751</v>
      </c>
      <c r="N312" s="319">
        <f t="shared" si="133"/>
        <v>16398.538193573011</v>
      </c>
      <c r="O312" s="319">
        <f t="shared" si="133"/>
        <v>18644.86978579338</v>
      </c>
      <c r="P312" s="319">
        <f t="shared" si="133"/>
        <v>19870.421989127724</v>
      </c>
    </row>
    <row r="313" spans="2:16" x14ac:dyDescent="0.25">
      <c r="C313" s="66"/>
      <c r="F313" s="46"/>
    </row>
    <row r="314" spans="2:16" x14ac:dyDescent="0.25">
      <c r="B314" s="56"/>
      <c r="C314" s="19" t="s">
        <v>26</v>
      </c>
      <c r="F314" s="37"/>
      <c r="G314" s="39">
        <v>-962</v>
      </c>
      <c r="H314" s="39">
        <v>-900.7</v>
      </c>
      <c r="I314" s="39">
        <v>-1281.8</v>
      </c>
      <c r="J314" s="39">
        <v>-2155.6</v>
      </c>
      <c r="K314" s="4">
        <v>-2067.1999999999998</v>
      </c>
      <c r="L314" s="289">
        <f>-Assumptions!M56*Model!L55</f>
        <v>-1899.626121</v>
      </c>
      <c r="M314" s="289">
        <f>-Assumptions!N56*Model!M55</f>
        <v>-2207.8091078399998</v>
      </c>
      <c r="N314" s="289">
        <f>-Assumptions!O56*Model!N55</f>
        <v>-2537.4108697775996</v>
      </c>
      <c r="O314" s="289">
        <f>-Assumptions!P56*Model!O55</f>
        <v>-2796.3277536395522</v>
      </c>
      <c r="P314" s="289">
        <f>-Assumptions!Q56*Model!P55</f>
        <v>-3037.4496456014572</v>
      </c>
    </row>
    <row r="315" spans="2:16" x14ac:dyDescent="0.25">
      <c r="B315" s="56"/>
      <c r="C315" s="19" t="s">
        <v>110</v>
      </c>
      <c r="F315" s="37"/>
      <c r="G315" s="39">
        <v>-658.9</v>
      </c>
      <c r="H315" s="39">
        <v>-725</v>
      </c>
      <c r="I315" s="39">
        <v>-930.6</v>
      </c>
      <c r="J315" s="39">
        <v>-985.9</v>
      </c>
      <c r="K315" s="4">
        <v>-1138.4000000000001</v>
      </c>
      <c r="L315" s="289">
        <f>-Assumptions!M66*Model!L261</f>
        <v>-1266.417414</v>
      </c>
      <c r="M315" s="289">
        <f>-Assumptions!N66*Model!M261</f>
        <v>-1471.8727385599998</v>
      </c>
      <c r="N315" s="289">
        <f>-Assumptions!O66*Model!N261</f>
        <v>-1691.6072465184</v>
      </c>
      <c r="O315" s="289">
        <f>-Assumptions!P66*Model!O261</f>
        <v>-1864.2185024263681</v>
      </c>
      <c r="P315" s="289">
        <f>-Assumptions!Q66*Model!P261</f>
        <v>-2024.9664304009714</v>
      </c>
    </row>
    <row r="316" spans="2:16" x14ac:dyDescent="0.25">
      <c r="B316" s="56"/>
      <c r="C316" s="19" t="s">
        <v>238</v>
      </c>
      <c r="F316" s="37"/>
      <c r="G316" s="39"/>
      <c r="H316" s="39"/>
      <c r="I316" s="39"/>
      <c r="J316" s="39"/>
      <c r="K316" s="4"/>
      <c r="L316" s="289">
        <f>-(L344-K344)-(L352-K352)</f>
        <v>-1375.1000000000001</v>
      </c>
      <c r="M316" s="358">
        <f t="shared" ref="M316:P316" si="134">-(M344-L344)-(M352-L352)</f>
        <v>0</v>
      </c>
      <c r="N316" s="358">
        <f t="shared" si="134"/>
        <v>0</v>
      </c>
      <c r="O316" s="358">
        <f t="shared" si="134"/>
        <v>0</v>
      </c>
      <c r="P316" s="358">
        <f t="shared" si="134"/>
        <v>0</v>
      </c>
    </row>
    <row r="317" spans="2:16" x14ac:dyDescent="0.25">
      <c r="B317" s="56"/>
      <c r="C317" s="19" t="s">
        <v>111</v>
      </c>
      <c r="F317" s="37"/>
      <c r="G317" s="39">
        <v>-351.40000000000009</v>
      </c>
      <c r="H317" s="39">
        <v>868.30000000000007</v>
      </c>
      <c r="I317" s="39">
        <v>290.40000000000009</v>
      </c>
      <c r="J317" s="39">
        <v>-493.1</v>
      </c>
      <c r="K317" s="4">
        <v>-526.20000000000005</v>
      </c>
      <c r="L317" s="358">
        <f>(K348-L348)-(K370-L370)-(K377-L377)</f>
        <v>-987.22</v>
      </c>
      <c r="M317" s="358">
        <f t="shared" ref="M317:P317" si="135">(L348-M348)-(L370-M370)-(L377-M377)</f>
        <v>0</v>
      </c>
      <c r="N317" s="358">
        <f t="shared" si="135"/>
        <v>0</v>
      </c>
      <c r="O317" s="358">
        <f t="shared" si="135"/>
        <v>0</v>
      </c>
      <c r="P317" s="358">
        <f t="shared" si="135"/>
        <v>0</v>
      </c>
    </row>
    <row r="318" spans="2:16" x14ac:dyDescent="0.25">
      <c r="B318" s="56"/>
      <c r="C318" s="56" t="s">
        <v>65</v>
      </c>
      <c r="F318" s="37"/>
      <c r="G318" s="145">
        <f t="shared" ref="G318:P318" si="136">SUM(G314:G317)</f>
        <v>-1972.3000000000002</v>
      </c>
      <c r="H318" s="145">
        <f t="shared" si="136"/>
        <v>-757.4</v>
      </c>
      <c r="I318" s="145">
        <f t="shared" si="136"/>
        <v>-1922</v>
      </c>
      <c r="J318" s="145">
        <f t="shared" si="136"/>
        <v>-3634.6</v>
      </c>
      <c r="K318" s="351">
        <f t="shared" si="136"/>
        <v>-3731.8</v>
      </c>
      <c r="L318" s="319">
        <f t="shared" si="136"/>
        <v>-5528.3635350000004</v>
      </c>
      <c r="M318" s="319">
        <f t="shared" si="136"/>
        <v>-3679.6818463999998</v>
      </c>
      <c r="N318" s="319">
        <f t="shared" si="136"/>
        <v>-4229.0181162959998</v>
      </c>
      <c r="O318" s="319">
        <f t="shared" si="136"/>
        <v>-4660.5462560659198</v>
      </c>
      <c r="P318" s="319">
        <f t="shared" si="136"/>
        <v>-5062.4160760024288</v>
      </c>
    </row>
    <row r="319" spans="2:16" x14ac:dyDescent="0.25">
      <c r="B319" s="56"/>
      <c r="F319" s="37"/>
      <c r="G319" s="39"/>
      <c r="H319" s="39"/>
      <c r="I319" s="39"/>
      <c r="J319" s="39"/>
      <c r="K319" s="4"/>
    </row>
    <row r="320" spans="2:16" x14ac:dyDescent="0.25">
      <c r="B320" s="56"/>
      <c r="C320" s="19" t="s">
        <v>21</v>
      </c>
      <c r="F320" s="37"/>
      <c r="G320" s="39">
        <v>-1066.4000000000001</v>
      </c>
      <c r="H320" s="39">
        <v>-1368.3</v>
      </c>
      <c r="I320" s="39">
        <v>-2559.8000000000002</v>
      </c>
      <c r="J320" s="39">
        <v>-2348.3000000000002</v>
      </c>
      <c r="K320" s="4">
        <v>-2452.9</v>
      </c>
      <c r="L320" s="289">
        <f>-L237</f>
        <v>-2864.6003465682002</v>
      </c>
      <c r="M320" s="289">
        <f>-M237</f>
        <v>-3323.3147246698923</v>
      </c>
      <c r="N320" s="289">
        <f>-N237</f>
        <v>-3829.9072758050834</v>
      </c>
      <c r="O320" s="289">
        <f>-O237</f>
        <v>-4234.3482312839451</v>
      </c>
      <c r="P320" s="289">
        <f>-P237</f>
        <v>-4618.0011366581539</v>
      </c>
    </row>
    <row r="321" spans="1:16" x14ac:dyDescent="0.25">
      <c r="B321" s="56"/>
      <c r="C321" s="19" t="s">
        <v>112</v>
      </c>
      <c r="F321" s="37"/>
      <c r="G321" s="39">
        <v>-1207.5</v>
      </c>
      <c r="H321" s="39">
        <v>-8560.2999999999993</v>
      </c>
      <c r="I321" s="39">
        <v>-4639.7</v>
      </c>
      <c r="J321" s="39">
        <v>-1000</v>
      </c>
      <c r="K321" s="4">
        <v>-500</v>
      </c>
      <c r="L321" s="289">
        <f>-L233</f>
        <v>-2387.1669554735004</v>
      </c>
      <c r="M321" s="289">
        <f>-M233</f>
        <v>-2769.4289372249104</v>
      </c>
      <c r="N321" s="289">
        <f>-N233</f>
        <v>-3191.5893965042364</v>
      </c>
      <c r="O321" s="289">
        <f>-O233</f>
        <v>-3528.6235260699541</v>
      </c>
      <c r="P321" s="289">
        <f>-P233</f>
        <v>-3848.3342805484617</v>
      </c>
    </row>
    <row r="322" spans="1:16" x14ac:dyDescent="0.25">
      <c r="B322" s="56"/>
      <c r="C322" s="19" t="s">
        <v>138</v>
      </c>
      <c r="F322" s="37"/>
      <c r="G322" s="39">
        <v>37.9</v>
      </c>
      <c r="H322" s="39">
        <v>49</v>
      </c>
      <c r="I322" s="39">
        <v>81.8</v>
      </c>
      <c r="J322" s="39">
        <v>99.4</v>
      </c>
      <c r="K322" s="4">
        <v>124</v>
      </c>
      <c r="L322" s="358">
        <v>0</v>
      </c>
      <c r="M322" s="358">
        <v>0</v>
      </c>
      <c r="N322" s="358">
        <v>0</v>
      </c>
      <c r="O322" s="358">
        <v>0</v>
      </c>
      <c r="P322" s="358">
        <v>0</v>
      </c>
    </row>
    <row r="323" spans="1:16" x14ac:dyDescent="0.25">
      <c r="B323" s="56"/>
      <c r="C323" s="19" t="s">
        <v>233</v>
      </c>
      <c r="F323" s="37"/>
      <c r="G323" s="39">
        <v>1424.1</v>
      </c>
      <c r="H323" s="39">
        <v>-73.5</v>
      </c>
      <c r="I323" s="39">
        <v>-75.600000000000023</v>
      </c>
      <c r="J323" s="39">
        <v>97.5</v>
      </c>
      <c r="K323" s="4">
        <v>-84.2</v>
      </c>
      <c r="L323" s="289">
        <f>L210+L201</f>
        <v>-500</v>
      </c>
      <c r="M323" s="289">
        <f>M210+M201</f>
        <v>-500</v>
      </c>
      <c r="N323" s="289">
        <f>N210+N201</f>
        <v>-500</v>
      </c>
      <c r="O323" s="289">
        <f>O210+O201</f>
        <v>-500</v>
      </c>
      <c r="P323" s="289">
        <f>P210+P201</f>
        <v>-500</v>
      </c>
    </row>
    <row r="324" spans="1:16" x14ac:dyDescent="0.25">
      <c r="B324" s="56"/>
      <c r="C324" s="56" t="s">
        <v>113</v>
      </c>
      <c r="F324" s="37"/>
      <c r="G324" s="145">
        <f t="shared" ref="G324:L324" si="137">SUM(G320:G323)</f>
        <v>-811.90000000000009</v>
      </c>
      <c r="H324" s="145">
        <f t="shared" si="137"/>
        <v>-9953.0999999999985</v>
      </c>
      <c r="I324" s="145">
        <f t="shared" si="137"/>
        <v>-7193.3</v>
      </c>
      <c r="J324" s="145">
        <f t="shared" si="137"/>
        <v>-3151.4</v>
      </c>
      <c r="K324" s="351">
        <f t="shared" si="137"/>
        <v>-2913.1</v>
      </c>
      <c r="L324" s="319">
        <f t="shared" si="137"/>
        <v>-5751.7673020417005</v>
      </c>
      <c r="M324" s="319">
        <f t="shared" ref="M324:P324" si="138">SUM(M320:M323)</f>
        <v>-6592.7436618948032</v>
      </c>
      <c r="N324" s="319">
        <f t="shared" si="138"/>
        <v>-7521.4966723093203</v>
      </c>
      <c r="O324" s="319">
        <f t="shared" si="138"/>
        <v>-8262.9717573538983</v>
      </c>
      <c r="P324" s="319">
        <f t="shared" si="138"/>
        <v>-8966.3354172066156</v>
      </c>
    </row>
    <row r="325" spans="1:16" x14ac:dyDescent="0.25">
      <c r="B325" s="45"/>
      <c r="C325" s="29"/>
      <c r="D325" s="29"/>
      <c r="E325" s="29"/>
      <c r="F325" s="29"/>
      <c r="G325" s="133"/>
      <c r="H325" s="29"/>
      <c r="I325" s="39"/>
      <c r="J325" s="39"/>
      <c r="K325" s="4"/>
      <c r="L325" s="301"/>
      <c r="M325" s="301"/>
      <c r="N325" s="301"/>
      <c r="O325" s="301"/>
      <c r="P325" s="301"/>
    </row>
    <row r="326" spans="1:16" x14ac:dyDescent="0.25">
      <c r="B326" s="45"/>
      <c r="C326" s="29"/>
      <c r="D326" s="29"/>
      <c r="E326" s="29"/>
      <c r="F326" s="29"/>
      <c r="G326" s="133"/>
      <c r="H326" s="29"/>
      <c r="I326" s="29"/>
      <c r="J326" s="29"/>
      <c r="K326" s="352"/>
      <c r="L326" s="301"/>
      <c r="M326" s="301"/>
      <c r="N326" s="301"/>
      <c r="O326" s="301"/>
      <c r="P326" s="301"/>
    </row>
    <row r="327" spans="1:16" x14ac:dyDescent="0.25">
      <c r="B327" s="45"/>
      <c r="C327" s="152" t="s">
        <v>27</v>
      </c>
      <c r="D327" s="78"/>
      <c r="E327" s="78"/>
      <c r="F327" s="78"/>
      <c r="G327" s="150">
        <f t="shared" ref="G327:P327" si="139">G324+G318+G312</f>
        <v>2522.3999999999992</v>
      </c>
      <c r="H327" s="150">
        <f t="shared" si="139"/>
        <v>882.10000000000218</v>
      </c>
      <c r="I327" s="150">
        <f t="shared" si="139"/>
        <v>319.60000000000036</v>
      </c>
      <c r="J327" s="150">
        <f t="shared" si="139"/>
        <v>-249.79999999999927</v>
      </c>
      <c r="K327" s="341">
        <f t="shared" si="139"/>
        <v>5724.8000000000011</v>
      </c>
      <c r="L327" s="300">
        <f t="shared" si="139"/>
        <v>1032.271053683522</v>
      </c>
      <c r="M327" s="300">
        <f t="shared" si="139"/>
        <v>4424.3012686699476</v>
      </c>
      <c r="N327" s="300">
        <f t="shared" si="139"/>
        <v>4648.023404967691</v>
      </c>
      <c r="O327" s="300">
        <f t="shared" si="139"/>
        <v>5721.3517723735622</v>
      </c>
      <c r="P327" s="309">
        <f t="shared" si="139"/>
        <v>5841.6704959186791</v>
      </c>
    </row>
    <row r="328" spans="1:16" x14ac:dyDescent="0.25">
      <c r="B328" s="45"/>
      <c r="C328" s="94" t="s">
        <v>139</v>
      </c>
      <c r="D328" s="29"/>
      <c r="E328" s="29"/>
      <c r="F328" s="29"/>
      <c r="G328" s="39">
        <v>-5.3</v>
      </c>
      <c r="H328" s="39">
        <v>20.3</v>
      </c>
      <c r="I328" s="39">
        <v>-3.1</v>
      </c>
      <c r="J328" s="39">
        <v>-13.8</v>
      </c>
      <c r="K328" s="4">
        <v>6.4</v>
      </c>
      <c r="L328" s="372">
        <f>Assumptions!M68</f>
        <v>0</v>
      </c>
      <c r="M328" s="372">
        <f>Assumptions!N68</f>
        <v>0</v>
      </c>
      <c r="N328" s="372">
        <f>Assumptions!O68</f>
        <v>0</v>
      </c>
      <c r="O328" s="372">
        <f>Assumptions!P68</f>
        <v>0</v>
      </c>
      <c r="P328" s="373">
        <f>Assumptions!Q68</f>
        <v>0</v>
      </c>
    </row>
    <row r="329" spans="1:16" x14ac:dyDescent="0.25">
      <c r="B329" s="45"/>
      <c r="C329" s="94" t="s">
        <v>29</v>
      </c>
      <c r="G329" s="39">
        <v>3532.3</v>
      </c>
      <c r="H329" s="143">
        <f>G330</f>
        <v>6049.4</v>
      </c>
      <c r="I329" s="143">
        <f t="shared" ref="I329:K329" si="140">H330</f>
        <v>6951.800000000002</v>
      </c>
      <c r="J329" s="143">
        <f t="shared" si="140"/>
        <v>7268.300000000002</v>
      </c>
      <c r="K329" s="353">
        <f t="shared" si="140"/>
        <v>7004.7000000000025</v>
      </c>
      <c r="L329" s="289">
        <f>K330</f>
        <v>12735.900000000003</v>
      </c>
      <c r="M329" s="289">
        <f t="shared" ref="M329:P329" si="141">L330</f>
        <v>13768.171053683525</v>
      </c>
      <c r="N329" s="289">
        <f t="shared" si="141"/>
        <v>18192.472322353475</v>
      </c>
      <c r="O329" s="289">
        <f t="shared" si="141"/>
        <v>22840.495727321166</v>
      </c>
      <c r="P329" s="310">
        <f t="shared" si="141"/>
        <v>28561.847499694726</v>
      </c>
    </row>
    <row r="330" spans="1:16" x14ac:dyDescent="0.25">
      <c r="B330" s="45"/>
      <c r="C330" s="153" t="s">
        <v>28</v>
      </c>
      <c r="D330" s="54"/>
      <c r="E330" s="54"/>
      <c r="F330" s="54"/>
      <c r="G330" s="151">
        <f>G329+G328+G327</f>
        <v>6049.4</v>
      </c>
      <c r="H330" s="151">
        <f t="shared" ref="H330:K330" si="142">H329+H328+H327</f>
        <v>6951.800000000002</v>
      </c>
      <c r="I330" s="151">
        <f t="shared" si="142"/>
        <v>7268.300000000002</v>
      </c>
      <c r="J330" s="151">
        <f t="shared" si="142"/>
        <v>7004.7000000000025</v>
      </c>
      <c r="K330" s="354">
        <f t="shared" si="142"/>
        <v>12735.900000000003</v>
      </c>
      <c r="L330" s="311">
        <f>SUM(L327:L329)</f>
        <v>13768.171053683525</v>
      </c>
      <c r="M330" s="311">
        <f t="shared" ref="M330:P330" si="143">SUM(M327:M329)</f>
        <v>18192.472322353475</v>
      </c>
      <c r="N330" s="311">
        <f t="shared" si="143"/>
        <v>22840.495727321166</v>
      </c>
      <c r="O330" s="311">
        <f t="shared" si="143"/>
        <v>28561.847499694726</v>
      </c>
      <c r="P330" s="312">
        <f t="shared" si="143"/>
        <v>34403.517995613409</v>
      </c>
    </row>
    <row r="331" spans="1:16" x14ac:dyDescent="0.25">
      <c r="B331" s="54"/>
      <c r="C331" s="54"/>
      <c r="D331" s="54"/>
      <c r="E331" s="54"/>
      <c r="F331" s="55"/>
      <c r="G331" s="55"/>
      <c r="H331" s="54"/>
      <c r="I331" s="54"/>
      <c r="J331" s="54"/>
      <c r="K331" s="340"/>
      <c r="L331" s="293"/>
      <c r="M331" s="293"/>
      <c r="N331" s="293"/>
      <c r="O331" s="293"/>
      <c r="P331" s="293"/>
    </row>
    <row r="332" spans="1:16" x14ac:dyDescent="0.25">
      <c r="L332" s="283"/>
      <c r="M332" s="283"/>
      <c r="N332" s="283"/>
      <c r="O332" s="283"/>
      <c r="P332" s="283"/>
    </row>
    <row r="333" spans="1:16" x14ac:dyDescent="0.25">
      <c r="L333" s="283"/>
      <c r="M333" s="283"/>
      <c r="N333" s="283"/>
      <c r="O333" s="283"/>
      <c r="P333" s="276" t="str">
        <f>$P$1</f>
        <v>CURRENTLY RUNNING: BASE CASE SCENARIO</v>
      </c>
    </row>
    <row r="334" spans="1:16" ht="22.8" x14ac:dyDescent="0.4">
      <c r="A334" s="20"/>
      <c r="B334" s="21" t="str">
        <f>Assumptions!$C$2</f>
        <v>ASML</v>
      </c>
      <c r="C334" s="17"/>
      <c r="D334" s="17"/>
      <c r="E334" s="17"/>
      <c r="F334" s="18"/>
      <c r="G334" s="18"/>
      <c r="H334" s="17"/>
      <c r="I334" s="17"/>
      <c r="J334" s="17"/>
      <c r="K334" s="326"/>
      <c r="L334" s="294"/>
      <c r="M334" s="294"/>
      <c r="N334" s="294"/>
      <c r="O334" s="294"/>
      <c r="P334" s="294"/>
    </row>
    <row r="335" spans="1:16" ht="17.399999999999999" x14ac:dyDescent="0.3">
      <c r="A335" s="22"/>
      <c r="B335" s="23" t="s">
        <v>31</v>
      </c>
      <c r="C335" s="24"/>
      <c r="D335" s="24"/>
      <c r="E335" s="24"/>
      <c r="F335" s="25"/>
      <c r="G335" s="25"/>
      <c r="H335" s="24"/>
      <c r="I335" s="24"/>
      <c r="J335" s="24"/>
      <c r="K335" s="327"/>
      <c r="L335" s="295"/>
      <c r="M335" s="295"/>
      <c r="N335" s="295"/>
      <c r="O335" s="295"/>
      <c r="P335" s="295"/>
    </row>
    <row r="336" spans="1:16" ht="18" thickBot="1" x14ac:dyDescent="0.35">
      <c r="A336" s="22"/>
      <c r="B336" s="26"/>
      <c r="C336" s="27"/>
      <c r="D336" s="27"/>
      <c r="E336" s="27"/>
      <c r="F336" s="28"/>
      <c r="G336" s="28"/>
      <c r="H336" s="27"/>
      <c r="I336" s="27"/>
      <c r="J336" s="27"/>
      <c r="K336" s="328"/>
      <c r="L336" s="296"/>
      <c r="M336" s="296"/>
      <c r="N336" s="296"/>
      <c r="O336" s="296"/>
      <c r="P336" s="296"/>
    </row>
    <row r="337" spans="1:16" ht="17.399999999999999" x14ac:dyDescent="0.3">
      <c r="A337" s="23"/>
      <c r="B337" s="533" t="s">
        <v>319</v>
      </c>
      <c r="C337" s="24"/>
      <c r="D337" s="24"/>
      <c r="E337" s="24"/>
      <c r="F337" s="25"/>
      <c r="G337" s="25"/>
      <c r="H337" s="24"/>
      <c r="I337" s="24"/>
      <c r="J337" s="24"/>
      <c r="K337" s="327"/>
      <c r="L337" s="295"/>
      <c r="M337" s="295"/>
      <c r="N337" s="295"/>
      <c r="O337" s="295"/>
      <c r="P337" s="295"/>
    </row>
    <row r="338" spans="1:16" x14ac:dyDescent="0.25">
      <c r="F338" s="30"/>
      <c r="G338" s="31"/>
      <c r="L338" s="297" t="s">
        <v>1</v>
      </c>
      <c r="M338" s="298"/>
      <c r="N338" s="298"/>
      <c r="O338" s="298"/>
      <c r="P338" s="298"/>
    </row>
    <row r="339" spans="1:16" x14ac:dyDescent="0.25">
      <c r="F339" s="30"/>
      <c r="G339" s="32">
        <f>G$7</f>
        <v>2020</v>
      </c>
      <c r="H339" s="32">
        <f t="shared" ref="H339:P339" si="144">H$7</f>
        <v>2021</v>
      </c>
      <c r="I339" s="32">
        <f t="shared" si="144"/>
        <v>2022</v>
      </c>
      <c r="J339" s="32">
        <f t="shared" si="144"/>
        <v>2023</v>
      </c>
      <c r="K339" s="14">
        <f t="shared" si="144"/>
        <v>2024</v>
      </c>
      <c r="L339" s="316">
        <f t="shared" si="144"/>
        <v>2025</v>
      </c>
      <c r="M339" s="316">
        <f t="shared" si="144"/>
        <v>2026</v>
      </c>
      <c r="N339" s="316">
        <f t="shared" si="144"/>
        <v>2027</v>
      </c>
      <c r="O339" s="316">
        <f t="shared" si="144"/>
        <v>2028</v>
      </c>
      <c r="P339" s="316">
        <f t="shared" si="144"/>
        <v>2029</v>
      </c>
    </row>
    <row r="340" spans="1:16" x14ac:dyDescent="0.25">
      <c r="F340" s="30"/>
      <c r="G340" s="30"/>
      <c r="I340" s="35"/>
      <c r="J340" s="35"/>
      <c r="K340" s="2"/>
      <c r="L340" s="283"/>
      <c r="M340" s="283"/>
      <c r="N340" s="283"/>
      <c r="O340" s="283"/>
      <c r="P340" s="283"/>
    </row>
    <row r="341" spans="1:16" x14ac:dyDescent="0.25">
      <c r="B341" s="45"/>
      <c r="F341" s="37"/>
    </row>
    <row r="342" spans="1:16" x14ac:dyDescent="0.25">
      <c r="C342" s="19" t="s">
        <v>32</v>
      </c>
      <c r="F342" s="37"/>
      <c r="G342" s="39">
        <v>6049.4</v>
      </c>
      <c r="H342" s="39">
        <v>6951.8</v>
      </c>
      <c r="I342" s="39">
        <v>7268.3</v>
      </c>
      <c r="J342" s="39">
        <v>7004.7</v>
      </c>
      <c r="K342" s="4">
        <v>12735.9</v>
      </c>
      <c r="L342" s="289">
        <f>L330</f>
        <v>13768.171053683525</v>
      </c>
      <c r="M342" s="289">
        <f t="shared" ref="M342:P342" si="145">M330</f>
        <v>18192.472322353475</v>
      </c>
      <c r="N342" s="289">
        <f t="shared" si="145"/>
        <v>22840.495727321166</v>
      </c>
      <c r="O342" s="289">
        <f t="shared" si="145"/>
        <v>28561.847499694726</v>
      </c>
      <c r="P342" s="289">
        <f t="shared" si="145"/>
        <v>34403.517995613409</v>
      </c>
    </row>
    <row r="343" spans="1:16" x14ac:dyDescent="0.25">
      <c r="C343" s="19" t="s">
        <v>15</v>
      </c>
      <c r="F343" s="37"/>
      <c r="G343" s="39">
        <v>1310.3</v>
      </c>
      <c r="H343" s="39">
        <v>3028</v>
      </c>
      <c r="I343" s="39">
        <v>5323.8</v>
      </c>
      <c r="J343" s="39">
        <v>4334.1000000000004</v>
      </c>
      <c r="K343" s="4">
        <v>4477.5</v>
      </c>
      <c r="L343" s="289">
        <f>L161</f>
        <v>5204.4551260273975</v>
      </c>
      <c r="M343" s="289">
        <f>M161</f>
        <v>6048.7920762739723</v>
      </c>
      <c r="N343" s="289">
        <f>N161</f>
        <v>6835.9470920949043</v>
      </c>
      <c r="O343" s="289">
        <f>O161</f>
        <v>7512.9024346417837</v>
      </c>
      <c r="P343" s="289">
        <f>P161</f>
        <v>8044.3871892641337</v>
      </c>
    </row>
    <row r="344" spans="1:16" x14ac:dyDescent="0.25">
      <c r="C344" s="19" t="s">
        <v>115</v>
      </c>
      <c r="F344" s="37"/>
      <c r="G344" s="39">
        <v>1710.5</v>
      </c>
      <c r="H344" s="39">
        <v>1185.5999999999999</v>
      </c>
      <c r="I344" s="39">
        <v>1356.7</v>
      </c>
      <c r="J344" s="39">
        <v>1379.2</v>
      </c>
      <c r="K344" s="4">
        <v>82.6</v>
      </c>
      <c r="L344" s="289">
        <f>AVERAGE(G344,H344,I344,J344)</f>
        <v>1408</v>
      </c>
      <c r="M344" s="289">
        <f>L344</f>
        <v>1408</v>
      </c>
      <c r="N344" s="289">
        <f t="shared" ref="N344:P344" si="146">M344</f>
        <v>1408</v>
      </c>
      <c r="O344" s="289">
        <f t="shared" si="146"/>
        <v>1408</v>
      </c>
      <c r="P344" s="289">
        <f t="shared" si="146"/>
        <v>1408</v>
      </c>
    </row>
    <row r="345" spans="1:16" x14ac:dyDescent="0.25">
      <c r="C345" s="19" t="s">
        <v>33</v>
      </c>
      <c r="F345" s="37"/>
      <c r="G345" s="39">
        <v>4569.3999999999996</v>
      </c>
      <c r="H345" s="39">
        <v>5179.2</v>
      </c>
      <c r="I345" s="39">
        <v>7199.7</v>
      </c>
      <c r="J345" s="39">
        <v>8850.7000000000007</v>
      </c>
      <c r="K345" s="4">
        <v>10891.5</v>
      </c>
      <c r="L345" s="289">
        <f t="shared" ref="L345:P347" si="147">L162</f>
        <v>12241.436788767121</v>
      </c>
      <c r="M345" s="289">
        <f t="shared" si="147"/>
        <v>13978.212096109588</v>
      </c>
      <c r="N345" s="289">
        <f t="shared" si="147"/>
        <v>15778.363283941806</v>
      </c>
      <c r="O345" s="289">
        <f t="shared" si="147"/>
        <v>17025.579746917418</v>
      </c>
      <c r="P345" s="289">
        <f t="shared" si="147"/>
        <v>18200.622284102814</v>
      </c>
    </row>
    <row r="346" spans="1:16" x14ac:dyDescent="0.25">
      <c r="C346" s="19" t="s">
        <v>114</v>
      </c>
      <c r="F346" s="37"/>
      <c r="G346" s="39">
        <v>119.2</v>
      </c>
      <c r="H346" s="39">
        <v>164.6</v>
      </c>
      <c r="I346" s="39">
        <v>131.9</v>
      </c>
      <c r="J346" s="39">
        <v>240.1</v>
      </c>
      <c r="K346" s="4">
        <v>320.60000000000002</v>
      </c>
      <c r="L346" s="289">
        <f t="shared" si="147"/>
        <v>346.96367506849316</v>
      </c>
      <c r="M346" s="289">
        <f t="shared" si="147"/>
        <v>403.25280508493148</v>
      </c>
      <c r="N346" s="289">
        <f t="shared" si="147"/>
        <v>463.4540401420274</v>
      </c>
      <c r="O346" s="289">
        <f t="shared" si="147"/>
        <v>509.3493176028328</v>
      </c>
      <c r="P346" s="289">
        <f t="shared" si="147"/>
        <v>554.78532339752644</v>
      </c>
    </row>
    <row r="347" spans="1:16" x14ac:dyDescent="0.25">
      <c r="C347" s="19" t="s">
        <v>166</v>
      </c>
      <c r="F347" s="37"/>
      <c r="G347" s="39">
        <v>599.9</v>
      </c>
      <c r="H347" s="39">
        <v>687.2</v>
      </c>
      <c r="I347" s="39">
        <v>1110.8</v>
      </c>
      <c r="J347" s="39">
        <v>1234.0999999999999</v>
      </c>
      <c r="K347" s="4">
        <v>1463.6</v>
      </c>
      <c r="L347" s="289">
        <f t="shared" si="147"/>
        <v>1561.3365378082192</v>
      </c>
      <c r="M347" s="289">
        <f t="shared" si="147"/>
        <v>1814.6376228821916</v>
      </c>
      <c r="N347" s="289">
        <f t="shared" si="147"/>
        <v>2085.5431806391234</v>
      </c>
      <c r="O347" s="289">
        <f t="shared" si="147"/>
        <v>2292.0719292127478</v>
      </c>
      <c r="P347" s="289">
        <f t="shared" si="147"/>
        <v>2496.533955288869</v>
      </c>
    </row>
    <row r="348" spans="1:16" x14ac:dyDescent="0.25">
      <c r="C348" s="19" t="s">
        <v>167</v>
      </c>
      <c r="F348" s="37"/>
      <c r="G348" s="39">
        <v>1408.5</v>
      </c>
      <c r="H348" s="39">
        <v>732.7</v>
      </c>
      <c r="I348" s="39">
        <v>158.39999999999986</v>
      </c>
      <c r="J348" s="39">
        <v>1026.4000000000001</v>
      </c>
      <c r="K348" s="4">
        <v>385.5</v>
      </c>
      <c r="L348" s="289">
        <f>AVERAGE(G348:K348)</f>
        <v>742.3</v>
      </c>
      <c r="M348" s="289">
        <f>L348</f>
        <v>742.3</v>
      </c>
      <c r="N348" s="289">
        <f t="shared" ref="N348:P348" si="148">M348</f>
        <v>742.3</v>
      </c>
      <c r="O348" s="289">
        <f t="shared" si="148"/>
        <v>742.3</v>
      </c>
      <c r="P348" s="289">
        <f t="shared" si="148"/>
        <v>742.3</v>
      </c>
    </row>
    <row r="349" spans="1:16" x14ac:dyDescent="0.25">
      <c r="C349" s="56" t="s">
        <v>116</v>
      </c>
      <c r="F349" s="37"/>
      <c r="G349" s="150">
        <f>SUM(G342:G348)</f>
        <v>15767.2</v>
      </c>
      <c r="H349" s="150">
        <f t="shared" ref="H349:K349" si="149">SUM(H342:H348)</f>
        <v>17929.099999999999</v>
      </c>
      <c r="I349" s="150">
        <f t="shared" si="149"/>
        <v>22549.600000000002</v>
      </c>
      <c r="J349" s="150">
        <f t="shared" si="149"/>
        <v>24069.3</v>
      </c>
      <c r="K349" s="341">
        <f t="shared" si="149"/>
        <v>30357.199999999997</v>
      </c>
      <c r="L349" s="300">
        <f>SUM(L342:L348)</f>
        <v>35272.663181354757</v>
      </c>
      <c r="M349" s="300">
        <f t="shared" ref="M349:P349" si="150">SUM(M342:M348)</f>
        <v>42587.666922704157</v>
      </c>
      <c r="N349" s="300">
        <f t="shared" si="150"/>
        <v>50154.103324139032</v>
      </c>
      <c r="O349" s="300">
        <f t="shared" si="150"/>
        <v>58052.050928069519</v>
      </c>
      <c r="P349" s="300">
        <f t="shared" si="150"/>
        <v>65850.146747666746</v>
      </c>
    </row>
    <row r="350" spans="1:16" x14ac:dyDescent="0.25">
      <c r="F350" s="37"/>
    </row>
    <row r="351" spans="1:16" x14ac:dyDescent="0.25">
      <c r="F351" s="37"/>
    </row>
    <row r="352" spans="1:16" x14ac:dyDescent="0.25">
      <c r="C352" s="146" t="s">
        <v>117</v>
      </c>
      <c r="F352" s="37"/>
      <c r="G352" s="39">
        <v>400.5</v>
      </c>
      <c r="H352" s="39">
        <v>383</v>
      </c>
      <c r="I352" s="39">
        <v>0</v>
      </c>
      <c r="J352" s="39">
        <v>60.6</v>
      </c>
      <c r="K352" s="4">
        <v>317.2</v>
      </c>
      <c r="L352" s="289">
        <f>AVERAGE(G352,H352,K352)</f>
        <v>366.90000000000003</v>
      </c>
      <c r="M352" s="289">
        <f>L352</f>
        <v>366.90000000000003</v>
      </c>
      <c r="N352" s="289">
        <f t="shared" ref="N352:P352" si="151">M352</f>
        <v>366.90000000000003</v>
      </c>
      <c r="O352" s="289">
        <f t="shared" si="151"/>
        <v>366.90000000000003</v>
      </c>
      <c r="P352" s="289">
        <f t="shared" si="151"/>
        <v>366.90000000000003</v>
      </c>
    </row>
    <row r="353" spans="2:16" x14ac:dyDescent="0.25">
      <c r="C353" s="146" t="s">
        <v>118</v>
      </c>
      <c r="F353" s="37"/>
      <c r="G353" s="39">
        <v>807.4</v>
      </c>
      <c r="H353" s="39">
        <v>1337.6</v>
      </c>
      <c r="I353" s="39">
        <v>2188.9</v>
      </c>
      <c r="J353" s="39">
        <v>2104.8000000000002</v>
      </c>
      <c r="K353" s="4">
        <v>2168.6</v>
      </c>
      <c r="L353" s="289">
        <f>K353</f>
        <v>2168.6</v>
      </c>
      <c r="M353" s="289">
        <f t="shared" ref="M353:P353" si="152">L353</f>
        <v>2168.6</v>
      </c>
      <c r="N353" s="289">
        <f t="shared" si="152"/>
        <v>2168.6</v>
      </c>
      <c r="O353" s="289">
        <f t="shared" si="152"/>
        <v>2168.6</v>
      </c>
      <c r="P353" s="289">
        <f t="shared" si="152"/>
        <v>2168.6</v>
      </c>
    </row>
    <row r="354" spans="2:16" x14ac:dyDescent="0.25">
      <c r="C354" s="146" t="s">
        <v>119</v>
      </c>
      <c r="F354" s="37"/>
      <c r="G354" s="39">
        <v>0</v>
      </c>
      <c r="H354" s="39">
        <v>124.4</v>
      </c>
      <c r="I354" s="39">
        <v>364.4</v>
      </c>
      <c r="J354" s="39">
        <v>929.2</v>
      </c>
      <c r="K354" s="4">
        <v>1456.7</v>
      </c>
      <c r="L354" s="289">
        <f>K354</f>
        <v>1456.7</v>
      </c>
      <c r="M354" s="289">
        <f t="shared" ref="M354:P354" si="153">L354</f>
        <v>1456.7</v>
      </c>
      <c r="N354" s="289">
        <f t="shared" si="153"/>
        <v>1456.7</v>
      </c>
      <c r="O354" s="289">
        <f t="shared" si="153"/>
        <v>1456.7</v>
      </c>
      <c r="P354" s="289">
        <f t="shared" si="153"/>
        <v>1456.7</v>
      </c>
    </row>
    <row r="355" spans="2:16" x14ac:dyDescent="0.25">
      <c r="C355" s="146" t="s">
        <v>120</v>
      </c>
      <c r="F355" s="37"/>
      <c r="G355" s="39">
        <v>827.7</v>
      </c>
      <c r="H355" s="39">
        <v>839.7</v>
      </c>
      <c r="I355" s="39">
        <v>739.8</v>
      </c>
      <c r="J355" s="39">
        <v>640.70000000000005</v>
      </c>
      <c r="K355" s="4">
        <v>790.8</v>
      </c>
      <c r="L355" s="289">
        <f>K355</f>
        <v>790.8</v>
      </c>
      <c r="M355" s="289">
        <f>L355</f>
        <v>790.8</v>
      </c>
      <c r="N355" s="289">
        <f t="shared" ref="N355:P355" si="154">M355</f>
        <v>790.8</v>
      </c>
      <c r="O355" s="289">
        <f t="shared" si="154"/>
        <v>790.8</v>
      </c>
      <c r="P355" s="289">
        <f t="shared" si="154"/>
        <v>790.8</v>
      </c>
    </row>
    <row r="356" spans="2:16" x14ac:dyDescent="0.25">
      <c r="C356" s="146" t="s">
        <v>121</v>
      </c>
      <c r="F356" s="37"/>
      <c r="G356" s="39">
        <v>123.8</v>
      </c>
      <c r="H356" s="39">
        <v>47.3</v>
      </c>
      <c r="I356" s="39">
        <v>0</v>
      </c>
      <c r="J356" s="39">
        <v>11.3</v>
      </c>
      <c r="K356" s="4">
        <v>0</v>
      </c>
      <c r="L356" s="372">
        <v>0</v>
      </c>
      <c r="M356" s="372">
        <v>0</v>
      </c>
      <c r="N356" s="372">
        <v>0</v>
      </c>
      <c r="O356" s="372">
        <v>0</v>
      </c>
      <c r="P356" s="372">
        <v>0</v>
      </c>
    </row>
    <row r="357" spans="2:16" x14ac:dyDescent="0.25">
      <c r="C357" s="146" t="s">
        <v>122</v>
      </c>
      <c r="F357" s="37"/>
      <c r="G357" s="39">
        <v>820.6</v>
      </c>
      <c r="H357" s="39">
        <v>892.5</v>
      </c>
      <c r="I357" s="39">
        <v>923.6</v>
      </c>
      <c r="J357" s="39">
        <v>919.6</v>
      </c>
      <c r="K357" s="4">
        <v>903</v>
      </c>
      <c r="L357" s="289">
        <f>K357+L281</f>
        <v>1118.0450000000001</v>
      </c>
      <c r="M357" s="289">
        <f t="shared" ref="M357:P357" si="155">L357+M281</f>
        <v>1338.4661249999999</v>
      </c>
      <c r="N357" s="289">
        <f t="shared" si="155"/>
        <v>1564.3977781249998</v>
      </c>
      <c r="O357" s="289">
        <f t="shared" si="155"/>
        <v>1795.9777225781247</v>
      </c>
      <c r="P357" s="289">
        <f t="shared" si="155"/>
        <v>2033.3471656425777</v>
      </c>
    </row>
    <row r="358" spans="2:16" x14ac:dyDescent="0.25">
      <c r="C358" s="146" t="s">
        <v>123</v>
      </c>
      <c r="F358" s="37"/>
      <c r="G358" s="39">
        <v>4650.6000000000004</v>
      </c>
      <c r="H358" s="39">
        <v>4577.1000000000004</v>
      </c>
      <c r="I358" s="39">
        <v>4577.1000000000004</v>
      </c>
      <c r="J358" s="39">
        <v>4610.1000000000004</v>
      </c>
      <c r="K358" s="4">
        <v>4610.1000000000004</v>
      </c>
      <c r="L358" s="289">
        <f>K358</f>
        <v>4610.1000000000004</v>
      </c>
      <c r="M358" s="289">
        <f t="shared" ref="M358:P358" si="156">L358</f>
        <v>4610.1000000000004</v>
      </c>
      <c r="N358" s="289">
        <f t="shared" si="156"/>
        <v>4610.1000000000004</v>
      </c>
      <c r="O358" s="289">
        <f t="shared" si="156"/>
        <v>4610.1000000000004</v>
      </c>
      <c r="P358" s="289">
        <f t="shared" si="156"/>
        <v>4610.1000000000004</v>
      </c>
    </row>
    <row r="359" spans="2:16" x14ac:dyDescent="0.25">
      <c r="C359" s="146" t="s">
        <v>124</v>
      </c>
      <c r="F359" s="37"/>
      <c r="G359" s="39">
        <v>2653.7</v>
      </c>
      <c r="H359" s="39">
        <v>2852.9</v>
      </c>
      <c r="I359" s="39">
        <v>3345.7</v>
      </c>
      <c r="J359" s="39">
        <v>3933.2</v>
      </c>
      <c r="K359" s="4">
        <v>4728.8999999999996</v>
      </c>
      <c r="L359" s="289">
        <f>Assumptions!M70*Model!L55</f>
        <v>5382.2740094999999</v>
      </c>
      <c r="M359" s="289">
        <f>Assumptions!N70*Model!M55</f>
        <v>6255.45913888</v>
      </c>
      <c r="N359" s="289">
        <f>Assumptions!O70*Model!N55</f>
        <v>7189.3307977032</v>
      </c>
      <c r="O359" s="289">
        <f>Assumptions!P70*Model!O55</f>
        <v>7922.9286353120651</v>
      </c>
      <c r="P359" s="289">
        <f>Assumptions!Q70*Model!P55</f>
        <v>8606.1073292041292</v>
      </c>
    </row>
    <row r="360" spans="2:16" x14ac:dyDescent="0.25">
      <c r="C360" s="146" t="s">
        <v>125</v>
      </c>
      <c r="F360" s="37"/>
      <c r="G360" s="39">
        <v>2470.3000000000002</v>
      </c>
      <c r="H360" s="39">
        <v>2982.7</v>
      </c>
      <c r="I360" s="39">
        <v>3944.2</v>
      </c>
      <c r="J360" s="39">
        <v>5493.2</v>
      </c>
      <c r="K360" s="4">
        <v>6846.8</v>
      </c>
      <c r="L360" s="289">
        <f>K360-L314-L107</f>
        <v>7510.3114816166672</v>
      </c>
      <c r="M360" s="289">
        <f>L360-M314-M107</f>
        <v>8276.634188631333</v>
      </c>
      <c r="N360" s="289">
        <f>M360-N314-N107</f>
        <v>9135.2976587027188</v>
      </c>
      <c r="O360" s="289">
        <f>N360-O314-O107</f>
        <v>9986.1910814652001</v>
      </c>
      <c r="P360" s="289">
        <f>O360-P314-P107</f>
        <v>10786.517526227535</v>
      </c>
    </row>
    <row r="361" spans="2:16" x14ac:dyDescent="0.25">
      <c r="C361" s="147" t="s">
        <v>126</v>
      </c>
      <c r="D361" s="29"/>
      <c r="F361" s="37"/>
      <c r="G361" s="39">
        <v>344.9</v>
      </c>
      <c r="H361" s="39">
        <v>164.8</v>
      </c>
      <c r="I361" s="39">
        <v>192.7</v>
      </c>
      <c r="J361" s="39">
        <v>306.60000000000002</v>
      </c>
      <c r="K361" s="4">
        <v>387.2</v>
      </c>
      <c r="L361" s="289">
        <f>K361</f>
        <v>387.2</v>
      </c>
      <c r="M361" s="289">
        <f t="shared" ref="M361:P361" si="157">L361</f>
        <v>387.2</v>
      </c>
      <c r="N361" s="289">
        <f t="shared" si="157"/>
        <v>387.2</v>
      </c>
      <c r="O361" s="289">
        <f t="shared" si="157"/>
        <v>387.2</v>
      </c>
      <c r="P361" s="289">
        <f t="shared" si="157"/>
        <v>387.2</v>
      </c>
    </row>
    <row r="362" spans="2:16" x14ac:dyDescent="0.25">
      <c r="C362" s="56" t="s">
        <v>127</v>
      </c>
      <c r="F362" s="37"/>
      <c r="G362" s="150">
        <f>SUM(G352:G361)</f>
        <v>13099.499999999998</v>
      </c>
      <c r="H362" s="150">
        <f t="shared" ref="H362:K362" si="158">SUM(H352:H361)</f>
        <v>14202</v>
      </c>
      <c r="I362" s="150">
        <f t="shared" si="158"/>
        <v>16276.400000000001</v>
      </c>
      <c r="J362" s="150">
        <f t="shared" si="158"/>
        <v>19009.3</v>
      </c>
      <c r="K362" s="341">
        <f t="shared" si="158"/>
        <v>22209.300000000003</v>
      </c>
      <c r="L362" s="300">
        <f>SUM(L352:L361)</f>
        <v>23790.930491116669</v>
      </c>
      <c r="M362" s="300">
        <f t="shared" ref="M362:P362" si="159">SUM(M352:M361)</f>
        <v>25650.859452511333</v>
      </c>
      <c r="N362" s="300">
        <f t="shared" si="159"/>
        <v>27669.326234530919</v>
      </c>
      <c r="O362" s="300">
        <f t="shared" si="159"/>
        <v>29485.397439355391</v>
      </c>
      <c r="P362" s="300">
        <f t="shared" si="159"/>
        <v>31206.272021074245</v>
      </c>
    </row>
    <row r="363" spans="2:16" x14ac:dyDescent="0.25">
      <c r="F363" s="37"/>
    </row>
    <row r="364" spans="2:16" x14ac:dyDescent="0.25">
      <c r="B364" s="29"/>
      <c r="C364" s="148" t="s">
        <v>34</v>
      </c>
      <c r="D364" s="62"/>
      <c r="E364" s="62"/>
      <c r="F364" s="63"/>
      <c r="G364" s="149">
        <f>G349+G362</f>
        <v>28866.699999999997</v>
      </c>
      <c r="H364" s="149">
        <f t="shared" ref="H364:P364" si="160">H349+H362</f>
        <v>32131.1</v>
      </c>
      <c r="I364" s="149">
        <f t="shared" si="160"/>
        <v>38826</v>
      </c>
      <c r="J364" s="149">
        <f t="shared" si="160"/>
        <v>43078.6</v>
      </c>
      <c r="K364" s="263">
        <f t="shared" si="160"/>
        <v>52566.5</v>
      </c>
      <c r="L364" s="313">
        <f t="shared" si="160"/>
        <v>59063.593672471427</v>
      </c>
      <c r="M364" s="313">
        <f t="shared" si="160"/>
        <v>68238.526375215486</v>
      </c>
      <c r="N364" s="313">
        <f t="shared" si="160"/>
        <v>77823.429558669945</v>
      </c>
      <c r="O364" s="313">
        <f t="shared" si="160"/>
        <v>87537.448367424906</v>
      </c>
      <c r="P364" s="313">
        <f t="shared" si="160"/>
        <v>97056.418768740987</v>
      </c>
    </row>
    <row r="365" spans="2:16" x14ac:dyDescent="0.25">
      <c r="C365" s="66"/>
      <c r="F365" s="46"/>
    </row>
    <row r="366" spans="2:16" x14ac:dyDescent="0.25">
      <c r="C366" s="87" t="s">
        <v>217</v>
      </c>
      <c r="F366" s="46"/>
      <c r="G366" s="39">
        <v>0</v>
      </c>
      <c r="H366" s="39">
        <v>0</v>
      </c>
      <c r="I366" s="39">
        <v>0</v>
      </c>
      <c r="J366" s="39">
        <v>0</v>
      </c>
      <c r="K366" s="39">
        <v>0</v>
      </c>
      <c r="L366" s="374">
        <f>L202</f>
        <v>0</v>
      </c>
      <c r="M366" s="374">
        <f>M202</f>
        <v>0</v>
      </c>
      <c r="N366" s="374">
        <f>N202</f>
        <v>0</v>
      </c>
      <c r="O366" s="374">
        <f>O202</f>
        <v>0</v>
      </c>
      <c r="P366" s="374">
        <f>P202</f>
        <v>0</v>
      </c>
    </row>
    <row r="367" spans="2:16" x14ac:dyDescent="0.25">
      <c r="C367" s="87" t="s">
        <v>16</v>
      </c>
      <c r="F367" s="46"/>
      <c r="G367" s="39">
        <v>1378.1</v>
      </c>
      <c r="H367" s="39">
        <v>2115.5</v>
      </c>
      <c r="I367" s="39">
        <v>2563.5</v>
      </c>
      <c r="J367" s="39">
        <v>2346.3000000000002</v>
      </c>
      <c r="K367" s="4">
        <v>3498.5</v>
      </c>
      <c r="L367" s="289">
        <f t="shared" ref="L367:P369" si="161">L165</f>
        <v>3934.7475392465749</v>
      </c>
      <c r="M367" s="289">
        <f t="shared" si="161"/>
        <v>4574.6875950904105</v>
      </c>
      <c r="N367" s="289">
        <f t="shared" si="161"/>
        <v>5376.3311930468381</v>
      </c>
      <c r="O367" s="289">
        <f t="shared" si="161"/>
        <v>5910.7673083637819</v>
      </c>
      <c r="P367" s="289">
        <f t="shared" si="161"/>
        <v>6650.2273730375664</v>
      </c>
    </row>
    <row r="368" spans="2:16" x14ac:dyDescent="0.25">
      <c r="B368" s="56"/>
      <c r="C368" s="146" t="s">
        <v>128</v>
      </c>
      <c r="F368" s="37"/>
      <c r="G368" s="39">
        <v>1126</v>
      </c>
      <c r="H368" s="39">
        <v>1432.7</v>
      </c>
      <c r="I368" s="39">
        <v>1574.3</v>
      </c>
      <c r="J368" s="39">
        <v>2083.4</v>
      </c>
      <c r="K368" s="4">
        <v>2602.3000000000002</v>
      </c>
      <c r="L368" s="289">
        <f t="shared" si="161"/>
        <v>2841.7621116780815</v>
      </c>
      <c r="M368" s="289">
        <f t="shared" si="161"/>
        <v>3303.94104089863</v>
      </c>
      <c r="N368" s="289">
        <f t="shared" si="161"/>
        <v>3798.4948646526573</v>
      </c>
      <c r="O368" s="289">
        <f t="shared" si="161"/>
        <v>4176.0855983004985</v>
      </c>
      <c r="P368" s="289">
        <f t="shared" si="161"/>
        <v>4550.1555710257035</v>
      </c>
    </row>
    <row r="369" spans="2:17" x14ac:dyDescent="0.25">
      <c r="B369" s="56"/>
      <c r="C369" s="147" t="s">
        <v>129</v>
      </c>
      <c r="F369" s="37"/>
      <c r="G369" s="39">
        <v>3954.2</v>
      </c>
      <c r="H369" s="39">
        <v>7935.2</v>
      </c>
      <c r="I369" s="39">
        <v>12481</v>
      </c>
      <c r="J369" s="39">
        <v>11441</v>
      </c>
      <c r="K369" s="4">
        <v>12570.8</v>
      </c>
      <c r="L369" s="289">
        <f t="shared" si="161"/>
        <v>14745.95619041096</v>
      </c>
      <c r="M369" s="289">
        <f t="shared" si="161"/>
        <v>17138.24421610959</v>
      </c>
      <c r="N369" s="289">
        <f t="shared" si="161"/>
        <v>19117.479155858629</v>
      </c>
      <c r="O369" s="289">
        <f t="shared" si="161"/>
        <v>21010.659351116854</v>
      </c>
      <c r="P369" s="289">
        <f t="shared" si="161"/>
        <v>22191.412935901059</v>
      </c>
    </row>
    <row r="370" spans="2:17" x14ac:dyDescent="0.25">
      <c r="B370" s="56"/>
      <c r="C370" s="146" t="s">
        <v>168</v>
      </c>
      <c r="F370" s="37"/>
      <c r="G370" s="39">
        <v>145.4</v>
      </c>
      <c r="H370" s="39">
        <v>813.8</v>
      </c>
      <c r="I370" s="39">
        <v>1143.8000000000002</v>
      </c>
      <c r="J370" s="39">
        <v>403</v>
      </c>
      <c r="K370" s="4">
        <v>1377.9</v>
      </c>
      <c r="L370" s="289">
        <f>AVERAGE(G370:K370)</f>
        <v>776.78</v>
      </c>
      <c r="M370" s="289">
        <f>L370</f>
        <v>776.78</v>
      </c>
      <c r="N370" s="289">
        <f t="shared" ref="N370:P370" si="162">M370</f>
        <v>776.78</v>
      </c>
      <c r="O370" s="289">
        <f t="shared" si="162"/>
        <v>776.78</v>
      </c>
      <c r="P370" s="289">
        <f t="shared" si="162"/>
        <v>776.78</v>
      </c>
    </row>
    <row r="371" spans="2:17" x14ac:dyDescent="0.25">
      <c r="B371" s="56"/>
      <c r="C371" s="56" t="s">
        <v>130</v>
      </c>
      <c r="F371" s="37"/>
      <c r="G371" s="150">
        <f>SUM(G366:G370)</f>
        <v>6603.6999999999989</v>
      </c>
      <c r="H371" s="150">
        <f t="shared" ref="H371:K371" si="163">SUM(H366:H370)</f>
        <v>12297.199999999999</v>
      </c>
      <c r="I371" s="150">
        <f t="shared" si="163"/>
        <v>17762.599999999999</v>
      </c>
      <c r="J371" s="150">
        <f t="shared" si="163"/>
        <v>16273.7</v>
      </c>
      <c r="K371" s="150">
        <f t="shared" si="163"/>
        <v>20049.5</v>
      </c>
      <c r="L371" s="300">
        <f>SUM(L366:L370)</f>
        <v>22299.245841335614</v>
      </c>
      <c r="M371" s="300">
        <f t="shared" ref="M371:P371" si="164">SUM(M366:M370)</f>
        <v>25793.652852098629</v>
      </c>
      <c r="N371" s="300">
        <f t="shared" si="164"/>
        <v>29069.085213558123</v>
      </c>
      <c r="O371" s="300">
        <f t="shared" si="164"/>
        <v>31874.292257781133</v>
      </c>
      <c r="P371" s="300">
        <f t="shared" si="164"/>
        <v>34168.575879964323</v>
      </c>
    </row>
    <row r="372" spans="2:17" x14ac:dyDescent="0.25">
      <c r="B372" s="56"/>
      <c r="F372" s="37"/>
    </row>
    <row r="373" spans="2:17" x14ac:dyDescent="0.25">
      <c r="B373" s="56"/>
      <c r="C373" s="146" t="s">
        <v>132</v>
      </c>
      <c r="F373" s="37"/>
      <c r="G373" s="39">
        <v>4662.8</v>
      </c>
      <c r="H373" s="39">
        <v>4075</v>
      </c>
      <c r="I373" s="39">
        <v>3514.2</v>
      </c>
      <c r="J373" s="39">
        <v>4631.5</v>
      </c>
      <c r="K373" s="4">
        <v>3677.3</v>
      </c>
      <c r="L373" s="289">
        <f>L211</f>
        <v>3177.3</v>
      </c>
      <c r="M373" s="289">
        <f>M211</f>
        <v>2677.3</v>
      </c>
      <c r="N373" s="289">
        <f>N211</f>
        <v>2177.3000000000002</v>
      </c>
      <c r="O373" s="289">
        <f>O211</f>
        <v>1677.3000000000002</v>
      </c>
      <c r="P373" s="289">
        <f>P211</f>
        <v>1177.3000000000002</v>
      </c>
    </row>
    <row r="374" spans="2:17" x14ac:dyDescent="0.25">
      <c r="B374" s="56"/>
      <c r="C374" s="146" t="s">
        <v>133</v>
      </c>
      <c r="F374" s="37"/>
      <c r="G374" s="39">
        <v>401.9</v>
      </c>
      <c r="H374" s="39">
        <v>438.3</v>
      </c>
      <c r="I374" s="39">
        <v>538.4</v>
      </c>
      <c r="J374" s="39">
        <v>737.3</v>
      </c>
      <c r="K374" s="4">
        <v>732.9</v>
      </c>
      <c r="L374" s="289">
        <f>K374+L132</f>
        <v>768.45665836911996</v>
      </c>
      <c r="M374" s="289">
        <f>L374+M132</f>
        <v>809.81778074588044</v>
      </c>
      <c r="N374" s="289">
        <f>M374+N132</f>
        <v>857.59083191880234</v>
      </c>
      <c r="O374" s="289">
        <f>N374+O132</f>
        <v>910.47812395623748</v>
      </c>
      <c r="P374" s="289">
        <f>O374+P132</f>
        <v>968.21514368625401</v>
      </c>
    </row>
    <row r="375" spans="2:17" x14ac:dyDescent="0.25">
      <c r="B375" s="56"/>
      <c r="C375" s="146" t="s">
        <v>235</v>
      </c>
      <c r="F375" s="37"/>
      <c r="G375" s="39">
        <v>1639.9</v>
      </c>
      <c r="H375" s="39">
        <v>3225.7</v>
      </c>
      <c r="I375" s="39">
        <v>5269.9</v>
      </c>
      <c r="J375" s="39">
        <v>4825.5</v>
      </c>
      <c r="K375" s="4">
        <v>5625.4</v>
      </c>
      <c r="L375" s="289">
        <f>Assumptions!M72*Model!L369</f>
        <v>5898.3824761643846</v>
      </c>
      <c r="M375" s="289">
        <f>Assumptions!N72*Model!M369</f>
        <v>6855.297686443836</v>
      </c>
      <c r="N375" s="289">
        <f>Assumptions!O72*Model!N369</f>
        <v>7646.9916623434519</v>
      </c>
      <c r="O375" s="289">
        <f>Assumptions!P72*Model!O369</f>
        <v>8404.2637404467423</v>
      </c>
      <c r="P375" s="289">
        <f>Assumptions!Q72*Model!P369</f>
        <v>8876.565174360423</v>
      </c>
    </row>
    <row r="376" spans="2:17" x14ac:dyDescent="0.25">
      <c r="B376" s="56"/>
      <c r="C376" s="146" t="s">
        <v>134</v>
      </c>
      <c r="F376" s="37"/>
      <c r="G376" s="39">
        <v>257.5</v>
      </c>
      <c r="H376" s="39">
        <v>251.1</v>
      </c>
      <c r="I376" s="39">
        <v>275.89999999999998</v>
      </c>
      <c r="J376" s="39">
        <v>338.4</v>
      </c>
      <c r="K376" s="4">
        <v>430.2</v>
      </c>
      <c r="L376" s="289">
        <f>(1+Assumptions!M74)*Model!K376</f>
        <v>443.10599999999999</v>
      </c>
      <c r="M376" s="289">
        <f>(1+Assumptions!N74)*Model!L376</f>
        <v>456.39918</v>
      </c>
      <c r="N376" s="289">
        <f>(1+Assumptions!O74)*Model!M376</f>
        <v>470.09115539999999</v>
      </c>
      <c r="O376" s="289">
        <f>(1+Assumptions!P74)*Model!N376</f>
        <v>484.19389006199998</v>
      </c>
      <c r="P376" s="289">
        <f>(1+Assumptions!Q74)*Model!O376</f>
        <v>498.71970676386002</v>
      </c>
    </row>
    <row r="377" spans="2:17" x14ac:dyDescent="0.25">
      <c r="B377" s="56"/>
      <c r="C377" s="146" t="s">
        <v>135</v>
      </c>
      <c r="F377" s="37"/>
      <c r="G377" s="39">
        <v>0</v>
      </c>
      <c r="H377" s="39">
        <v>0</v>
      </c>
      <c r="I377" s="39">
        <v>179</v>
      </c>
      <c r="J377" s="39">
        <v>62.7</v>
      </c>
      <c r="K377" s="4">
        <v>29.3</v>
      </c>
      <c r="L377" s="372">
        <v>0</v>
      </c>
      <c r="M377" s="372">
        <v>0</v>
      </c>
      <c r="N377" s="372">
        <v>0</v>
      </c>
      <c r="O377" s="372">
        <v>0</v>
      </c>
      <c r="P377" s="372">
        <v>0</v>
      </c>
    </row>
    <row r="378" spans="2:17" x14ac:dyDescent="0.25">
      <c r="B378" s="56"/>
      <c r="C378" s="56" t="s">
        <v>131</v>
      </c>
      <c r="F378" s="37"/>
      <c r="G378" s="150">
        <f>SUM(G373:G377)</f>
        <v>6962.1</v>
      </c>
      <c r="H378" s="150">
        <f t="shared" ref="H378:K378" si="165">SUM(H373:H377)</f>
        <v>7990.1</v>
      </c>
      <c r="I378" s="150">
        <f t="shared" si="165"/>
        <v>9777.4</v>
      </c>
      <c r="J378" s="150">
        <f t="shared" si="165"/>
        <v>10595.4</v>
      </c>
      <c r="K378" s="341">
        <f t="shared" si="165"/>
        <v>10495.099999999999</v>
      </c>
      <c r="L378" s="300">
        <f>SUM(L373:L377)</f>
        <v>10287.245134533505</v>
      </c>
      <c r="M378" s="300">
        <f t="shared" ref="M378:P378" si="166">SUM(M373:M377)</f>
        <v>10798.814647189716</v>
      </c>
      <c r="N378" s="300">
        <f t="shared" si="166"/>
        <v>11151.973649662254</v>
      </c>
      <c r="O378" s="300">
        <f t="shared" si="166"/>
        <v>11476.23575446498</v>
      </c>
      <c r="P378" s="300">
        <f t="shared" si="166"/>
        <v>11520.800024810538</v>
      </c>
    </row>
    <row r="379" spans="2:17" x14ac:dyDescent="0.25">
      <c r="B379" s="56"/>
      <c r="F379" s="37"/>
    </row>
    <row r="380" spans="2:17" x14ac:dyDescent="0.25">
      <c r="B380" s="56"/>
      <c r="C380" s="148" t="s">
        <v>35</v>
      </c>
      <c r="F380" s="37"/>
      <c r="G380" s="47">
        <f>G371+G378</f>
        <v>13565.8</v>
      </c>
      <c r="H380" s="47">
        <f t="shared" ref="H380:P380" si="167">H371+H378</f>
        <v>20287.3</v>
      </c>
      <c r="I380" s="47">
        <f t="shared" si="167"/>
        <v>27540</v>
      </c>
      <c r="J380" s="47">
        <f t="shared" si="167"/>
        <v>26869.1</v>
      </c>
      <c r="K380" s="8">
        <f t="shared" si="167"/>
        <v>30544.6</v>
      </c>
      <c r="L380" s="357">
        <f t="shared" si="167"/>
        <v>32586.490975869121</v>
      </c>
      <c r="M380" s="357">
        <f t="shared" si="167"/>
        <v>36592.467499288345</v>
      </c>
      <c r="N380" s="357">
        <f t="shared" si="167"/>
        <v>40221.058863220373</v>
      </c>
      <c r="O380" s="357">
        <f t="shared" si="167"/>
        <v>43350.528012246112</v>
      </c>
      <c r="P380" s="357">
        <f t="shared" si="167"/>
        <v>45689.375904774861</v>
      </c>
    </row>
    <row r="381" spans="2:17" x14ac:dyDescent="0.25">
      <c r="B381" s="56"/>
      <c r="C381" s="148"/>
      <c r="F381" s="37"/>
      <c r="G381" s="29"/>
      <c r="H381" s="29"/>
      <c r="I381" s="29"/>
      <c r="J381" s="29"/>
      <c r="K381" s="352"/>
      <c r="L381" s="308"/>
      <c r="M381" s="308"/>
      <c r="N381" s="308"/>
      <c r="O381" s="308"/>
      <c r="P381" s="308"/>
    </row>
    <row r="382" spans="2:17" x14ac:dyDescent="0.25">
      <c r="B382" s="56"/>
      <c r="C382" s="146" t="s">
        <v>37</v>
      </c>
      <c r="F382" s="37"/>
      <c r="G382" s="4">
        <v>6557.5</v>
      </c>
      <c r="H382" s="4">
        <v>1663</v>
      </c>
      <c r="I382" s="4">
        <v>2301.9</v>
      </c>
      <c r="J382" s="4">
        <v>3502.8</v>
      </c>
      <c r="K382" s="4">
        <v>5166.6000000000004</v>
      </c>
      <c r="L382" s="289">
        <f>L244</f>
        <v>11850.667475325801</v>
      </c>
      <c r="M382" s="289">
        <f>M244</f>
        <v>19605.068499555549</v>
      </c>
      <c r="N382" s="289">
        <f>N244</f>
        <v>28541.518809767411</v>
      </c>
      <c r="O382" s="289">
        <f>O244</f>
        <v>38421.664682763279</v>
      </c>
      <c r="P382" s="289">
        <f>P244</f>
        <v>49197.00066829897</v>
      </c>
    </row>
    <row r="383" spans="2:17" x14ac:dyDescent="0.25">
      <c r="B383" s="56"/>
      <c r="C383" s="19" t="s">
        <v>231</v>
      </c>
      <c r="F383" s="37"/>
      <c r="G383" s="143">
        <f>G321+G322</f>
        <v>-1169.5999999999999</v>
      </c>
      <c r="H383" s="143">
        <f>H321+H322</f>
        <v>-8511.2999999999993</v>
      </c>
      <c r="I383" s="143">
        <f>I321+I322</f>
        <v>-4557.8999999999996</v>
      </c>
      <c r="J383" s="143">
        <f>J321+J322</f>
        <v>-900.6</v>
      </c>
      <c r="K383" s="143">
        <f>K321+K322</f>
        <v>-376</v>
      </c>
      <c r="L383" s="289">
        <f>K383-L233</f>
        <v>-2763.1669554735004</v>
      </c>
      <c r="M383" s="289">
        <f>L383-M233</f>
        <v>-5532.5958926984113</v>
      </c>
      <c r="N383" s="289">
        <f>M383-N233</f>
        <v>-8724.1852892026473</v>
      </c>
      <c r="O383" s="289">
        <f>N383-O233</f>
        <v>-12252.808815272601</v>
      </c>
      <c r="P383" s="289">
        <f>O383-P233</f>
        <v>-16101.143095821062</v>
      </c>
      <c r="Q383" s="270"/>
    </row>
    <row r="384" spans="2:17" x14ac:dyDescent="0.25">
      <c r="B384" s="56"/>
      <c r="C384" s="146" t="s">
        <v>36</v>
      </c>
      <c r="F384" s="37"/>
      <c r="G384" s="151">
        <f>G385-G382-G383</f>
        <v>9913</v>
      </c>
      <c r="H384" s="151">
        <f t="shared" ref="H384:K384" si="168">H385-H382-H383</f>
        <v>18692.099999999999</v>
      </c>
      <c r="I384" s="151">
        <f t="shared" si="168"/>
        <v>13542</v>
      </c>
      <c r="J384" s="151">
        <f t="shared" si="168"/>
        <v>13607.300000000001</v>
      </c>
      <c r="K384" s="151">
        <f t="shared" si="168"/>
        <v>17231.300000000003</v>
      </c>
      <c r="L384" s="289">
        <f>K384+L307</f>
        <v>17389.602176750002</v>
      </c>
      <c r="M384" s="289">
        <f t="shared" ref="M384:P384" si="169">L384+M307</f>
        <v>17573.586269070001</v>
      </c>
      <c r="N384" s="289">
        <f t="shared" si="169"/>
        <v>17785.037174884801</v>
      </c>
      <c r="O384" s="289">
        <f t="shared" si="169"/>
        <v>18018.064487688098</v>
      </c>
      <c r="P384" s="289">
        <f t="shared" si="169"/>
        <v>18271.185291488218</v>
      </c>
    </row>
    <row r="385" spans="2:16" x14ac:dyDescent="0.25">
      <c r="B385" s="56"/>
      <c r="C385" s="148" t="s">
        <v>136</v>
      </c>
      <c r="F385" s="37"/>
      <c r="G385" s="39">
        <v>15300.9</v>
      </c>
      <c r="H385" s="39">
        <v>11843.8</v>
      </c>
      <c r="I385" s="39">
        <v>11286</v>
      </c>
      <c r="J385" s="39">
        <v>16209.5</v>
      </c>
      <c r="K385" s="4">
        <v>22021.9</v>
      </c>
      <c r="L385" s="300">
        <f>SUM(L382:L384)</f>
        <v>26477.102696602306</v>
      </c>
      <c r="M385" s="300">
        <f t="shared" ref="M385:P385" si="170">SUM(M382:M384)</f>
        <v>31646.058875927141</v>
      </c>
      <c r="N385" s="300">
        <f t="shared" si="170"/>
        <v>37602.370695449565</v>
      </c>
      <c r="O385" s="300">
        <f t="shared" si="170"/>
        <v>44186.92035517878</v>
      </c>
      <c r="P385" s="300">
        <f t="shared" si="170"/>
        <v>51367.042863966126</v>
      </c>
    </row>
    <row r="386" spans="2:16" x14ac:dyDescent="0.25">
      <c r="B386" s="45"/>
      <c r="C386" s="29"/>
      <c r="D386" s="29"/>
      <c r="E386" s="29"/>
      <c r="F386" s="29"/>
      <c r="G386" s="133"/>
      <c r="H386" s="29"/>
      <c r="I386" s="39"/>
      <c r="J386" s="39"/>
      <c r="K386" s="4"/>
      <c r="L386" s="301"/>
      <c r="M386" s="301"/>
      <c r="N386" s="301"/>
      <c r="O386" s="301"/>
      <c r="P386" s="301"/>
    </row>
    <row r="387" spans="2:16" x14ac:dyDescent="0.25">
      <c r="B387" s="45"/>
      <c r="C387" s="56" t="s">
        <v>38</v>
      </c>
      <c r="D387" s="29"/>
      <c r="E387" s="29"/>
      <c r="F387" s="29"/>
      <c r="G387" s="149">
        <f>G380+G385</f>
        <v>28866.699999999997</v>
      </c>
      <c r="H387" s="149">
        <f t="shared" ref="H387:P387" si="171">H380+H385</f>
        <v>32131.1</v>
      </c>
      <c r="I387" s="149">
        <f t="shared" si="171"/>
        <v>38826</v>
      </c>
      <c r="J387" s="149">
        <f t="shared" si="171"/>
        <v>43078.6</v>
      </c>
      <c r="K387" s="263">
        <f t="shared" si="171"/>
        <v>52566.5</v>
      </c>
      <c r="L387" s="356">
        <f t="shared" si="171"/>
        <v>59063.593672471427</v>
      </c>
      <c r="M387" s="356">
        <f t="shared" si="171"/>
        <v>68238.526375215486</v>
      </c>
      <c r="N387" s="356">
        <f t="shared" si="171"/>
        <v>77823.429558669945</v>
      </c>
      <c r="O387" s="356">
        <f t="shared" si="171"/>
        <v>87537.448367424891</v>
      </c>
      <c r="P387" s="356">
        <f t="shared" si="171"/>
        <v>97056.418768740987</v>
      </c>
    </row>
    <row r="388" spans="2:16" x14ac:dyDescent="0.25">
      <c r="B388" s="45"/>
    </row>
    <row r="389" spans="2:16" x14ac:dyDescent="0.25">
      <c r="B389" s="45"/>
      <c r="C389" s="19" t="s">
        <v>39</v>
      </c>
      <c r="G389" s="143">
        <f>G364-G387</f>
        <v>0</v>
      </c>
      <c r="H389" s="143">
        <f t="shared" ref="H389:P389" si="172">H364-H387</f>
        <v>0</v>
      </c>
      <c r="I389" s="143">
        <f t="shared" si="172"/>
        <v>0</v>
      </c>
      <c r="J389" s="143">
        <f t="shared" si="172"/>
        <v>0</v>
      </c>
      <c r="K389" s="143">
        <f t="shared" si="172"/>
        <v>0</v>
      </c>
      <c r="L389" s="143">
        <f t="shared" si="172"/>
        <v>0</v>
      </c>
      <c r="M389" s="143">
        <f t="shared" si="172"/>
        <v>0</v>
      </c>
      <c r="N389" s="143">
        <f t="shared" si="172"/>
        <v>0</v>
      </c>
      <c r="O389" s="143">
        <f t="shared" si="172"/>
        <v>0</v>
      </c>
      <c r="P389" s="143">
        <f t="shared" si="172"/>
        <v>0</v>
      </c>
    </row>
    <row r="390" spans="2:16" x14ac:dyDescent="0.25">
      <c r="B390" s="54"/>
      <c r="C390" s="54"/>
      <c r="D390" s="54"/>
      <c r="E390" s="54"/>
      <c r="F390" s="55"/>
      <c r="G390" s="55"/>
      <c r="H390" s="54"/>
      <c r="I390" s="54"/>
      <c r="J390" s="54"/>
      <c r="K390" s="340"/>
      <c r="L390" s="314"/>
      <c r="M390" s="314"/>
      <c r="N390" s="314"/>
      <c r="O390" s="314"/>
      <c r="P390" s="314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1E94-B134-46E5-ABB6-F93E6D924FDE}">
  <dimension ref="B2:Q136"/>
  <sheetViews>
    <sheetView showGridLines="0" topLeftCell="A83" zoomScale="88" workbookViewId="0">
      <selection activeCell="T116" sqref="T116"/>
    </sheetView>
  </sheetViews>
  <sheetFormatPr defaultRowHeight="14.4" x14ac:dyDescent="0.3"/>
  <cols>
    <col min="7" max="8" width="14.88671875" customWidth="1"/>
    <col min="9" max="9" width="14" customWidth="1"/>
    <col min="17" max="17" width="8.88671875" style="163"/>
  </cols>
  <sheetData>
    <row r="2" spans="2:16" ht="22.8" x14ac:dyDescent="0.4">
      <c r="B2" s="21" t="str">
        <f>Assumptions!C2</f>
        <v>ASML</v>
      </c>
      <c r="C2" s="17"/>
      <c r="D2" s="17"/>
      <c r="E2" s="17"/>
      <c r="F2" s="18"/>
      <c r="G2" s="18"/>
      <c r="H2" s="17"/>
      <c r="I2" s="17"/>
      <c r="J2" s="17"/>
      <c r="K2" s="326"/>
      <c r="L2" s="275"/>
      <c r="M2" s="275"/>
      <c r="N2" s="275"/>
      <c r="O2" s="275"/>
      <c r="P2" s="275"/>
    </row>
    <row r="3" spans="2:16" ht="17.399999999999999" x14ac:dyDescent="0.3">
      <c r="B3" s="23" t="s">
        <v>247</v>
      </c>
      <c r="C3" s="24"/>
      <c r="D3" s="24"/>
      <c r="E3" s="24"/>
      <c r="F3" s="25"/>
      <c r="G3" s="25"/>
      <c r="H3" s="24"/>
      <c r="I3" s="24"/>
      <c r="J3" s="24"/>
      <c r="K3" s="327"/>
      <c r="L3" s="277"/>
      <c r="M3" s="277"/>
      <c r="N3" s="277"/>
      <c r="O3" s="277"/>
      <c r="P3" s="277"/>
    </row>
    <row r="4" spans="2:16" ht="18" thickBot="1" x14ac:dyDescent="0.35">
      <c r="B4" s="26"/>
      <c r="C4" s="27"/>
      <c r="D4" s="27"/>
      <c r="E4" s="27"/>
      <c r="F4" s="28"/>
      <c r="G4" s="28"/>
      <c r="H4" s="27"/>
      <c r="I4" s="27"/>
      <c r="J4" s="27"/>
      <c r="K4" s="328"/>
      <c r="L4" s="278"/>
      <c r="M4" s="278"/>
      <c r="N4" s="278"/>
      <c r="O4" s="278"/>
      <c r="P4" s="278"/>
    </row>
    <row r="5" spans="2:16" ht="17.399999999999999" x14ac:dyDescent="0.3">
      <c r="B5" s="533" t="s">
        <v>319</v>
      </c>
      <c r="C5" s="24"/>
      <c r="D5" s="24"/>
      <c r="E5" s="24"/>
      <c r="F5" s="25"/>
      <c r="G5" s="25"/>
      <c r="H5" s="24"/>
      <c r="I5" s="24"/>
      <c r="J5" s="24"/>
      <c r="K5" s="327"/>
      <c r="L5" s="277"/>
      <c r="M5" s="277"/>
      <c r="N5" s="277"/>
      <c r="O5" s="277"/>
      <c r="P5" s="277"/>
    </row>
    <row r="6" spans="2:16" x14ac:dyDescent="0.3">
      <c r="B6" s="19"/>
      <c r="C6" s="19"/>
      <c r="D6" s="19"/>
      <c r="E6" s="19"/>
      <c r="F6" s="30"/>
      <c r="G6" s="32"/>
      <c r="H6" s="13"/>
      <c r="I6" s="33"/>
      <c r="J6" s="33"/>
      <c r="K6" s="1"/>
      <c r="L6" s="281"/>
      <c r="M6" s="281"/>
      <c r="N6" s="281"/>
      <c r="O6" s="281"/>
      <c r="P6" s="281"/>
    </row>
    <row r="7" spans="2:16" x14ac:dyDescent="0.3">
      <c r="B7" s="56" t="s">
        <v>268</v>
      </c>
      <c r="C7" s="19"/>
      <c r="D7" s="19"/>
      <c r="E7" s="19"/>
      <c r="F7" s="30"/>
      <c r="G7" s="74"/>
      <c r="H7" s="13"/>
      <c r="I7" s="33"/>
      <c r="J7" s="33"/>
      <c r="K7" s="1"/>
      <c r="L7" s="281"/>
      <c r="M7" s="281"/>
      <c r="N7" s="281"/>
      <c r="O7" s="281"/>
      <c r="P7" s="281"/>
    </row>
    <row r="8" spans="2:16" x14ac:dyDescent="0.3">
      <c r="B8" s="19"/>
      <c r="C8" s="19" t="s">
        <v>240</v>
      </c>
      <c r="D8" s="19"/>
      <c r="E8" s="19"/>
      <c r="F8" s="30"/>
      <c r="G8" s="255">
        <f>Assumptions!Q23</f>
        <v>2.9899999999999999E-2</v>
      </c>
      <c r="H8" s="137"/>
      <c r="I8" s="35"/>
      <c r="J8" s="35"/>
      <c r="K8" s="2"/>
      <c r="L8" s="282"/>
      <c r="M8" s="282"/>
      <c r="N8" s="282"/>
      <c r="O8" s="282"/>
      <c r="P8" s="282"/>
    </row>
    <row r="9" spans="2:16" x14ac:dyDescent="0.3">
      <c r="B9" s="388"/>
      <c r="C9" s="389" t="s">
        <v>242</v>
      </c>
      <c r="D9" s="389"/>
      <c r="E9" s="389"/>
      <c r="F9" s="390"/>
      <c r="G9" s="255">
        <f>Assumptions!Q25</f>
        <v>5.5E-2</v>
      </c>
      <c r="H9" s="391"/>
      <c r="I9" s="392"/>
      <c r="J9" s="392"/>
      <c r="K9" s="393"/>
      <c r="L9" s="283"/>
      <c r="M9" s="283"/>
      <c r="N9" s="283"/>
      <c r="O9" s="283"/>
      <c r="P9" s="283"/>
    </row>
    <row r="10" spans="2:16" x14ac:dyDescent="0.3">
      <c r="B10" s="388"/>
      <c r="C10" s="19" t="s">
        <v>248</v>
      </c>
      <c r="D10" s="389"/>
      <c r="E10" s="389"/>
      <c r="F10" s="390"/>
      <c r="G10" s="239">
        <f>Assumptions!Q24</f>
        <v>1.46</v>
      </c>
      <c r="H10" s="394"/>
      <c r="I10" s="394"/>
      <c r="J10" s="394"/>
      <c r="K10" s="395"/>
      <c r="L10" s="396"/>
      <c r="M10" s="396"/>
      <c r="N10" s="396"/>
      <c r="O10" s="396"/>
      <c r="P10" s="396"/>
    </row>
    <row r="11" spans="2:16" x14ac:dyDescent="0.3">
      <c r="B11" s="388"/>
      <c r="C11" s="19" t="s">
        <v>249</v>
      </c>
      <c r="D11" s="389"/>
      <c r="E11" s="389"/>
      <c r="F11" s="390"/>
      <c r="G11" s="420">
        <f>G8+G10*G9</f>
        <v>0.11019999999999999</v>
      </c>
      <c r="H11" s="394"/>
      <c r="I11" s="394"/>
      <c r="J11" s="394"/>
      <c r="K11" s="395"/>
      <c r="L11" s="396"/>
      <c r="M11" s="396"/>
      <c r="N11" s="396"/>
      <c r="O11" s="396"/>
      <c r="P11" s="396"/>
    </row>
    <row r="12" spans="2:16" x14ac:dyDescent="0.3">
      <c r="B12" s="400"/>
      <c r="C12" s="19"/>
      <c r="D12" s="401"/>
      <c r="E12" s="401"/>
      <c r="F12" s="402"/>
      <c r="G12" s="394"/>
      <c r="H12" s="394"/>
      <c r="I12" s="394"/>
      <c r="J12" s="394"/>
      <c r="K12" s="395"/>
      <c r="L12" s="403"/>
      <c r="M12" s="403"/>
      <c r="N12" s="403"/>
      <c r="O12" s="403"/>
      <c r="P12" s="403"/>
    </row>
    <row r="13" spans="2:16" x14ac:dyDescent="0.3">
      <c r="B13" s="56" t="s">
        <v>269</v>
      </c>
      <c r="C13" s="19"/>
      <c r="D13" s="401"/>
      <c r="E13" s="401"/>
      <c r="F13" s="402"/>
      <c r="G13" s="394"/>
      <c r="H13" s="394"/>
      <c r="I13" s="394"/>
      <c r="J13" s="394"/>
      <c r="K13" s="395"/>
      <c r="L13" s="403"/>
      <c r="M13" s="403"/>
      <c r="N13" s="403"/>
      <c r="O13" s="403"/>
      <c r="P13" s="403"/>
    </row>
    <row r="14" spans="2:16" x14ac:dyDescent="0.3">
      <c r="B14" s="401"/>
      <c r="C14" s="19" t="s">
        <v>250</v>
      </c>
      <c r="D14" s="401"/>
      <c r="E14" s="401"/>
      <c r="F14" s="402"/>
      <c r="G14" s="255">
        <f>Assumptions!Q13</f>
        <v>3.5000000000000003E-2</v>
      </c>
      <c r="H14" s="394"/>
      <c r="I14" s="394"/>
      <c r="J14" s="394"/>
      <c r="K14" s="395"/>
      <c r="L14" s="403"/>
      <c r="M14" s="403"/>
      <c r="N14" s="403"/>
      <c r="O14" s="403"/>
      <c r="P14" s="403"/>
    </row>
    <row r="15" spans="2:16" x14ac:dyDescent="0.3">
      <c r="B15" s="401"/>
      <c r="C15" s="19" t="s">
        <v>25</v>
      </c>
      <c r="D15" s="401"/>
      <c r="E15" s="401"/>
      <c r="F15" s="402"/>
      <c r="G15" s="255">
        <f>Assumptions!Q18</f>
        <v>0.16</v>
      </c>
      <c r="H15" s="394"/>
      <c r="I15" s="394"/>
      <c r="J15" s="394"/>
      <c r="K15" s="395"/>
      <c r="L15" s="403"/>
      <c r="M15" s="403"/>
      <c r="N15" s="403"/>
      <c r="O15" s="403"/>
      <c r="P15" s="403"/>
    </row>
    <row r="16" spans="2:16" x14ac:dyDescent="0.3">
      <c r="B16" s="401"/>
      <c r="C16" s="19" t="s">
        <v>256</v>
      </c>
      <c r="D16" s="401"/>
      <c r="E16" s="401"/>
      <c r="F16" s="402"/>
      <c r="G16" s="420">
        <f>G14*(1-G15)</f>
        <v>2.9400000000000003E-2</v>
      </c>
      <c r="H16" s="394"/>
      <c r="I16" s="394"/>
      <c r="J16" s="394"/>
      <c r="K16" s="395"/>
      <c r="L16" s="403"/>
      <c r="M16" s="403"/>
      <c r="N16" s="403"/>
      <c r="O16" s="403"/>
      <c r="P16" s="403"/>
    </row>
    <row r="17" spans="2:16" x14ac:dyDescent="0.3">
      <c r="B17" s="401"/>
      <c r="C17" s="19"/>
      <c r="D17" s="401"/>
      <c r="E17" s="401"/>
      <c r="F17" s="402"/>
      <c r="G17" s="394"/>
      <c r="H17" s="394"/>
      <c r="I17" s="394"/>
      <c r="J17" s="394"/>
      <c r="K17" s="395"/>
      <c r="L17" s="403"/>
      <c r="M17" s="403"/>
      <c r="N17" s="403"/>
      <c r="O17" s="403"/>
      <c r="P17" s="403"/>
    </row>
    <row r="18" spans="2:16" x14ac:dyDescent="0.3">
      <c r="B18" s="56" t="s">
        <v>270</v>
      </c>
      <c r="C18" s="19"/>
      <c r="D18" s="401"/>
      <c r="E18" s="401"/>
      <c r="F18" s="402"/>
      <c r="G18" s="405"/>
      <c r="H18" s="405"/>
      <c r="I18" s="405"/>
      <c r="J18" s="405"/>
      <c r="K18" s="406"/>
      <c r="L18" s="396"/>
      <c r="M18" s="396"/>
      <c r="N18" s="396"/>
      <c r="O18" s="396"/>
      <c r="P18" s="396"/>
    </row>
    <row r="19" spans="2:16" x14ac:dyDescent="0.3">
      <c r="B19" s="401"/>
      <c r="C19" s="19" t="s">
        <v>251</v>
      </c>
      <c r="D19" s="401"/>
      <c r="E19" s="401"/>
      <c r="F19" s="402"/>
      <c r="G19" s="273">
        <f>Assumptions!Q28*Assumptions!Q29</f>
        <v>454617.83999999991</v>
      </c>
      <c r="H19" s="408"/>
      <c r="I19" s="409"/>
      <c r="J19" s="410"/>
      <c r="K19" s="411"/>
      <c r="L19" s="403"/>
      <c r="M19" s="403"/>
      <c r="N19" s="403"/>
      <c r="O19" s="403"/>
      <c r="P19" s="403"/>
    </row>
    <row r="20" spans="2:16" x14ac:dyDescent="0.3">
      <c r="B20" s="401"/>
      <c r="C20" s="19" t="s">
        <v>252</v>
      </c>
      <c r="D20" s="412"/>
      <c r="E20" s="412"/>
      <c r="F20" s="413"/>
      <c r="G20" s="273">
        <f>Model!K366+Model!K373</f>
        <v>3677.3</v>
      </c>
      <c r="H20" s="408"/>
      <c r="I20" s="415"/>
      <c r="J20" s="415"/>
      <c r="K20" s="416"/>
      <c r="L20" s="292"/>
      <c r="M20" s="292"/>
      <c r="N20" s="292"/>
      <c r="O20" s="292"/>
      <c r="P20" s="292"/>
    </row>
    <row r="21" spans="2:16" x14ac:dyDescent="0.3">
      <c r="B21" s="401"/>
      <c r="C21" s="19" t="s">
        <v>253</v>
      </c>
      <c r="D21" s="401"/>
      <c r="E21" s="401"/>
      <c r="F21" s="418"/>
      <c r="G21" s="273">
        <f>G19+G20</f>
        <v>458295.1399999999</v>
      </c>
      <c r="H21" s="408"/>
      <c r="I21" s="415"/>
      <c r="J21" s="415"/>
      <c r="K21" s="416"/>
      <c r="L21" s="292"/>
      <c r="M21" s="292"/>
      <c r="N21" s="292"/>
      <c r="O21" s="292"/>
      <c r="P21" s="292"/>
    </row>
    <row r="22" spans="2:16" x14ac:dyDescent="0.3">
      <c r="B22" s="404"/>
      <c r="C22" s="19" t="s">
        <v>254</v>
      </c>
      <c r="D22" s="401"/>
      <c r="E22" s="401"/>
      <c r="F22" s="402"/>
      <c r="G22" s="355">
        <f>G19/G21</f>
        <v>0.99197613136373208</v>
      </c>
      <c r="H22" s="408"/>
      <c r="I22" s="408"/>
      <c r="J22" s="408"/>
      <c r="K22" s="419"/>
      <c r="L22" s="307"/>
      <c r="M22" s="307"/>
      <c r="N22" s="307"/>
      <c r="O22" s="307"/>
      <c r="P22" s="307"/>
    </row>
    <row r="23" spans="2:16" x14ac:dyDescent="0.3">
      <c r="B23" s="404"/>
      <c r="C23" s="19" t="s">
        <v>255</v>
      </c>
      <c r="D23" s="401"/>
      <c r="E23" s="401"/>
      <c r="F23" s="402"/>
      <c r="G23" s="355">
        <f>1-G22</f>
        <v>8.0238686362679168E-3</v>
      </c>
      <c r="H23" s="398"/>
      <c r="I23" s="398"/>
      <c r="J23" s="398"/>
      <c r="K23" s="399"/>
      <c r="L23" s="396"/>
      <c r="M23" s="396"/>
      <c r="N23" s="396"/>
      <c r="O23" s="396"/>
      <c r="P23" s="396"/>
    </row>
    <row r="24" spans="2:16" x14ac:dyDescent="0.3">
      <c r="B24" s="404"/>
      <c r="C24" s="19"/>
      <c r="D24" s="401"/>
      <c r="E24" s="401"/>
      <c r="F24" s="402"/>
      <c r="G24" s="398"/>
      <c r="H24" s="398"/>
      <c r="I24" s="398"/>
      <c r="J24" s="398"/>
      <c r="K24" s="399"/>
      <c r="L24" s="301"/>
      <c r="M24" s="301"/>
      <c r="N24" s="301"/>
      <c r="O24" s="301"/>
      <c r="P24" s="301"/>
    </row>
    <row r="25" spans="2:16" x14ac:dyDescent="0.3">
      <c r="B25" s="404"/>
      <c r="C25" s="401" t="s">
        <v>257</v>
      </c>
      <c r="D25" s="401"/>
      <c r="E25" s="401"/>
      <c r="F25" s="402"/>
      <c r="G25" s="421">
        <f>G22*G11+G23*G16</f>
        <v>0.10955167141418955</v>
      </c>
      <c r="H25" s="398"/>
      <c r="I25" s="398"/>
      <c r="J25" s="398"/>
      <c r="K25" s="399"/>
      <c r="L25" s="307"/>
      <c r="M25" s="307"/>
      <c r="N25" s="307"/>
      <c r="O25" s="307"/>
      <c r="P25" s="307"/>
    </row>
    <row r="26" spans="2:16" x14ac:dyDescent="0.3">
      <c r="B26" s="404"/>
      <c r="C26" s="401"/>
      <c r="D26" s="401"/>
      <c r="E26" s="401"/>
      <c r="F26" s="402"/>
      <c r="G26" s="398"/>
      <c r="H26" s="398"/>
      <c r="I26" s="398"/>
      <c r="J26" s="398"/>
      <c r="K26" s="399"/>
      <c r="L26" s="307"/>
      <c r="M26" s="307"/>
      <c r="N26" s="307"/>
      <c r="O26" s="307"/>
      <c r="P26" s="307"/>
    </row>
    <row r="27" spans="2:16" x14ac:dyDescent="0.3">
      <c r="B27" s="404"/>
      <c r="C27" s="401"/>
      <c r="D27" s="401"/>
      <c r="E27" s="401"/>
      <c r="F27" s="402"/>
      <c r="G27" s="398"/>
      <c r="H27" s="398"/>
      <c r="I27" s="398"/>
      <c r="J27" s="398"/>
      <c r="K27" s="399"/>
      <c r="L27" s="307"/>
      <c r="M27" s="307"/>
      <c r="N27" s="307"/>
      <c r="O27" s="307"/>
      <c r="P27" s="307"/>
    </row>
    <row r="28" spans="2:16" x14ac:dyDescent="0.3">
      <c r="B28" s="422"/>
      <c r="C28" s="397"/>
      <c r="D28" s="397"/>
      <c r="E28" s="397"/>
      <c r="F28" s="423"/>
      <c r="G28" s="424"/>
      <c r="H28" s="424"/>
      <c r="I28" s="424"/>
      <c r="J28" s="424"/>
      <c r="K28" s="425"/>
      <c r="L28" s="288"/>
      <c r="M28" s="288"/>
      <c r="N28" s="288"/>
      <c r="O28" s="288"/>
      <c r="P28" s="288"/>
    </row>
    <row r="29" spans="2:16" x14ac:dyDescent="0.3">
      <c r="B29" s="404"/>
      <c r="C29" s="401"/>
      <c r="D29" s="401"/>
      <c r="E29" s="401"/>
      <c r="F29" s="402"/>
      <c r="G29" s="398"/>
      <c r="H29" s="398"/>
      <c r="I29" s="398"/>
      <c r="J29" s="398"/>
      <c r="K29" s="399"/>
      <c r="L29" s="307"/>
      <c r="M29" s="307"/>
      <c r="N29" s="307"/>
      <c r="O29" s="307"/>
      <c r="P29" s="307"/>
    </row>
    <row r="30" spans="2:16" x14ac:dyDescent="0.3">
      <c r="B30" s="404"/>
      <c r="C30" s="404"/>
      <c r="D30" s="401"/>
      <c r="E30" s="401"/>
      <c r="F30" s="402"/>
      <c r="G30" s="398"/>
      <c r="H30" s="398"/>
      <c r="I30" s="398"/>
      <c r="J30" s="398"/>
      <c r="K30" s="399"/>
      <c r="L30" s="396"/>
      <c r="M30" s="396"/>
      <c r="N30" s="396"/>
      <c r="O30" s="396"/>
      <c r="P30" s="396"/>
    </row>
    <row r="31" spans="2:16" ht="22.8" x14ac:dyDescent="0.4">
      <c r="B31" s="21" t="str">
        <f>B2</f>
        <v>ASML</v>
      </c>
      <c r="C31" s="17"/>
      <c r="D31" s="17"/>
      <c r="E31" s="17"/>
      <c r="F31" s="18"/>
      <c r="G31" s="18"/>
      <c r="H31" s="17"/>
      <c r="I31" s="17"/>
      <c r="J31" s="17"/>
      <c r="K31" s="326"/>
      <c r="L31" s="275"/>
      <c r="M31" s="275"/>
      <c r="N31" s="275"/>
      <c r="O31" s="275"/>
      <c r="P31" s="275"/>
    </row>
    <row r="32" spans="2:16" ht="17.399999999999999" x14ac:dyDescent="0.3">
      <c r="B32" s="23" t="s">
        <v>317</v>
      </c>
      <c r="C32" s="24"/>
      <c r="D32" s="24"/>
      <c r="E32" s="24"/>
      <c r="F32" s="25"/>
      <c r="G32" s="25"/>
      <c r="H32" s="24"/>
      <c r="I32" s="24"/>
      <c r="J32" s="24"/>
      <c r="K32" s="327"/>
      <c r="L32" s="277"/>
      <c r="M32" s="277"/>
      <c r="N32" s="277"/>
      <c r="O32" s="277"/>
      <c r="P32" s="277"/>
    </row>
    <row r="33" spans="2:16" ht="18" thickBot="1" x14ac:dyDescent="0.35">
      <c r="B33" s="26"/>
      <c r="C33" s="27"/>
      <c r="D33" s="27"/>
      <c r="E33" s="27"/>
      <c r="F33" s="28"/>
      <c r="G33" s="28"/>
      <c r="H33" s="27"/>
      <c r="I33" s="27"/>
      <c r="J33" s="27"/>
      <c r="K33" s="328"/>
      <c r="L33" s="278"/>
      <c r="M33" s="278"/>
      <c r="N33" s="278"/>
      <c r="O33" s="278"/>
      <c r="P33" s="278"/>
    </row>
    <row r="34" spans="2:16" ht="17.399999999999999" x14ac:dyDescent="0.3">
      <c r="B34" s="533" t="s">
        <v>319</v>
      </c>
      <c r="C34" s="24"/>
      <c r="D34" s="24"/>
      <c r="E34" s="24"/>
      <c r="F34" s="25"/>
      <c r="G34" s="25"/>
      <c r="H34" s="24"/>
      <c r="I34" s="24"/>
      <c r="J34" s="24"/>
      <c r="K34" s="327"/>
      <c r="L34" s="277"/>
      <c r="M34" s="277"/>
      <c r="N34" s="277"/>
      <c r="O34" s="277"/>
      <c r="P34" s="277"/>
    </row>
    <row r="35" spans="2:16" x14ac:dyDescent="0.3">
      <c r="B35" s="19"/>
      <c r="C35" s="19"/>
      <c r="D35" s="19"/>
      <c r="E35" s="19"/>
      <c r="F35" s="30"/>
      <c r="G35" s="31"/>
      <c r="H35" s="19"/>
      <c r="I35" s="19"/>
      <c r="J35" s="19"/>
      <c r="K35" s="329"/>
      <c r="L35" s="279" t="s">
        <v>1</v>
      </c>
      <c r="M35" s="280"/>
      <c r="N35" s="280"/>
      <c r="O35" s="280"/>
      <c r="P35" s="280"/>
    </row>
    <row r="36" spans="2:16" x14ac:dyDescent="0.3">
      <c r="B36" s="19"/>
      <c r="C36" s="19"/>
      <c r="D36" s="19"/>
      <c r="E36" s="19"/>
      <c r="F36" s="30"/>
      <c r="G36" s="32">
        <f>H36-1</f>
        <v>2020</v>
      </c>
      <c r="H36" s="13">
        <f>I36-1</f>
        <v>2021</v>
      </c>
      <c r="I36" s="33">
        <f>J36-1</f>
        <v>2022</v>
      </c>
      <c r="J36" s="33">
        <f>K36-1</f>
        <v>2023</v>
      </c>
      <c r="K36" s="1">
        <f>L36-1</f>
        <v>2024</v>
      </c>
      <c r="L36" s="315">
        <f>Assumptions!H11</f>
        <v>2025</v>
      </c>
      <c r="M36" s="315">
        <f>L36+1</f>
        <v>2026</v>
      </c>
      <c r="N36" s="315">
        <f t="shared" ref="N36:P36" si="0">M36+1</f>
        <v>2027</v>
      </c>
      <c r="O36" s="315">
        <f t="shared" si="0"/>
        <v>2028</v>
      </c>
      <c r="P36" s="315">
        <f t="shared" si="0"/>
        <v>2029</v>
      </c>
    </row>
    <row r="37" spans="2:16" x14ac:dyDescent="0.3">
      <c r="B37" s="45"/>
      <c r="C37" s="19"/>
      <c r="D37" s="19"/>
      <c r="E37" s="19"/>
      <c r="F37" s="37"/>
      <c r="G37" s="138"/>
      <c r="H37" s="137"/>
      <c r="I37" s="35"/>
      <c r="J37" s="35"/>
      <c r="K37" s="2"/>
      <c r="L37" s="283"/>
      <c r="M37" s="283"/>
      <c r="N37" s="283"/>
      <c r="O37" s="283"/>
      <c r="P37" s="283"/>
    </row>
    <row r="38" spans="2:16" x14ac:dyDescent="0.3">
      <c r="B38" s="45"/>
      <c r="C38" s="19" t="s">
        <v>264</v>
      </c>
      <c r="D38" s="19"/>
      <c r="E38" s="19"/>
      <c r="F38" s="37"/>
      <c r="G38" s="155"/>
      <c r="H38" s="155"/>
      <c r="I38" s="155"/>
      <c r="J38" s="155"/>
      <c r="K38" s="330"/>
      <c r="L38" s="273">
        <f>Model!L272</f>
        <v>10985.443240350001</v>
      </c>
      <c r="M38" s="273">
        <f>Model!M272</f>
        <v>12761.192821663997</v>
      </c>
      <c r="N38" s="273">
        <f>Model!N272</f>
        <v>14658.93454509096</v>
      </c>
      <c r="O38" s="273">
        <f>Model!O272</f>
        <v>16146.67434715202</v>
      </c>
      <c r="P38" s="273">
        <f>Model!P272</f>
        <v>17530.287215636337</v>
      </c>
    </row>
    <row r="39" spans="2:16" x14ac:dyDescent="0.3">
      <c r="B39" s="45"/>
      <c r="C39" s="19" t="s">
        <v>25</v>
      </c>
      <c r="D39" s="19"/>
      <c r="E39" s="19"/>
      <c r="F39" s="37"/>
      <c r="G39" s="155"/>
      <c r="H39" s="155"/>
      <c r="I39" s="155"/>
      <c r="J39" s="155"/>
      <c r="K39" s="330"/>
      <c r="L39" s="254">
        <f>Assumptions!Q18</f>
        <v>0.16</v>
      </c>
      <c r="M39" s="254">
        <f>L39</f>
        <v>0.16</v>
      </c>
      <c r="N39" s="254">
        <f t="shared" ref="N39:P39" si="1">M39</f>
        <v>0.16</v>
      </c>
      <c r="O39" s="254">
        <f t="shared" si="1"/>
        <v>0.16</v>
      </c>
      <c r="P39" s="254">
        <f t="shared" si="1"/>
        <v>0.16</v>
      </c>
    </row>
    <row r="40" spans="2:16" x14ac:dyDescent="0.3">
      <c r="B40" s="45"/>
      <c r="C40" s="19" t="s">
        <v>263</v>
      </c>
      <c r="D40" s="19"/>
      <c r="E40" s="19"/>
      <c r="F40" s="37"/>
      <c r="G40" s="155"/>
      <c r="H40" s="155"/>
      <c r="I40" s="155"/>
      <c r="J40" s="155"/>
      <c r="K40" s="330"/>
      <c r="L40" s="433">
        <f>L38*(1-L39)</f>
        <v>9227.7723218940009</v>
      </c>
      <c r="M40" s="433">
        <f t="shared" ref="M40:P40" si="2">M38*(1-M39)</f>
        <v>10719.401970197758</v>
      </c>
      <c r="N40" s="433">
        <f t="shared" si="2"/>
        <v>12313.505017876407</v>
      </c>
      <c r="O40" s="433">
        <f t="shared" si="2"/>
        <v>13563.206451607697</v>
      </c>
      <c r="P40" s="433">
        <f t="shared" si="2"/>
        <v>14725.441261134523</v>
      </c>
    </row>
    <row r="41" spans="2:16" x14ac:dyDescent="0.3">
      <c r="B41" s="45"/>
      <c r="C41" s="19"/>
      <c r="D41" s="19"/>
      <c r="E41" s="19"/>
      <c r="F41" s="37"/>
      <c r="G41" s="155"/>
      <c r="H41" s="155"/>
      <c r="I41" s="155"/>
      <c r="J41" s="155"/>
      <c r="K41" s="330"/>
      <c r="L41" s="301"/>
      <c r="M41" s="301"/>
      <c r="N41" s="301"/>
      <c r="O41" s="301"/>
      <c r="P41" s="301"/>
    </row>
    <row r="42" spans="2:16" x14ac:dyDescent="0.3">
      <c r="B42" s="19"/>
      <c r="C42" s="19" t="s">
        <v>107</v>
      </c>
      <c r="D42" s="19"/>
      <c r="E42" s="19"/>
      <c r="F42" s="37"/>
      <c r="G42" s="155"/>
      <c r="H42" s="155"/>
      <c r="I42" s="155"/>
      <c r="J42" s="155"/>
      <c r="K42" s="330"/>
      <c r="L42" s="273">
        <f>Model!L305</f>
        <v>1849.1580438833328</v>
      </c>
      <c r="M42" s="273">
        <f>Model!M305</f>
        <v>2040.1740100053328</v>
      </c>
      <c r="N42" s="273">
        <f>Model!N305</f>
        <v>2436.4829874014131</v>
      </c>
      <c r="O42" s="273">
        <f>Model!O305</f>
        <v>3076.0549956945752</v>
      </c>
      <c r="P42" s="273">
        <f>Model!P305</f>
        <v>3578.9109373480292</v>
      </c>
    </row>
    <row r="43" spans="2:16" x14ac:dyDescent="0.3">
      <c r="B43" s="19"/>
      <c r="C43" s="19" t="s">
        <v>318</v>
      </c>
      <c r="D43" s="19"/>
      <c r="E43" s="19"/>
      <c r="F43" s="37"/>
      <c r="G43" s="155"/>
      <c r="H43" s="155"/>
      <c r="I43" s="155"/>
      <c r="J43" s="155"/>
      <c r="K43" s="330"/>
      <c r="L43" s="273">
        <f>-Model!L308</f>
        <v>-649.8737136643831</v>
      </c>
      <c r="M43" s="273">
        <f>-Model!M308</f>
        <v>-603.70453808356615</v>
      </c>
      <c r="N43" s="273">
        <f>-Model!N308</f>
        <v>-357.0193649923167</v>
      </c>
      <c r="O43" s="273">
        <f>-Model!O308</f>
        <v>-628.61121266609189</v>
      </c>
      <c r="P43" s="273">
        <f>-Model!P308</f>
        <v>-337.85829850462687</v>
      </c>
    </row>
    <row r="44" spans="2:16" x14ac:dyDescent="0.3">
      <c r="B44" s="19"/>
      <c r="C44" s="19" t="s">
        <v>26</v>
      </c>
      <c r="D44" s="19"/>
      <c r="E44" s="19"/>
      <c r="F44" s="37"/>
      <c r="G44" s="155"/>
      <c r="H44" s="155"/>
      <c r="I44" s="155"/>
      <c r="J44" s="155"/>
      <c r="K44" s="330"/>
      <c r="L44" s="273">
        <f>Model!L314</f>
        <v>-1899.626121</v>
      </c>
      <c r="M44" s="273">
        <f>Model!M314</f>
        <v>-2207.8091078399998</v>
      </c>
      <c r="N44" s="273">
        <f>Model!N314</f>
        <v>-2537.4108697775996</v>
      </c>
      <c r="O44" s="273">
        <f>Model!O314</f>
        <v>-2796.3277536395522</v>
      </c>
      <c r="P44" s="273">
        <f>Model!P314</f>
        <v>-3037.4496456014572</v>
      </c>
    </row>
    <row r="45" spans="2:16" x14ac:dyDescent="0.3">
      <c r="B45" s="19"/>
      <c r="C45" s="19" t="s">
        <v>110</v>
      </c>
      <c r="D45" s="19"/>
      <c r="E45" s="19"/>
      <c r="F45" s="37"/>
      <c r="G45" s="155"/>
      <c r="H45" s="155"/>
      <c r="I45" s="155"/>
      <c r="J45" s="155"/>
      <c r="K45" s="330"/>
      <c r="L45" s="273">
        <f>Model!L315</f>
        <v>-1266.417414</v>
      </c>
      <c r="M45" s="273">
        <f>Model!M315</f>
        <v>-1471.8727385599998</v>
      </c>
      <c r="N45" s="273">
        <f>Model!N315</f>
        <v>-1691.6072465184</v>
      </c>
      <c r="O45" s="273">
        <f>Model!O315</f>
        <v>-1864.2185024263681</v>
      </c>
      <c r="P45" s="273">
        <f>Model!P315</f>
        <v>-2024.9664304009714</v>
      </c>
    </row>
    <row r="46" spans="2:16" x14ac:dyDescent="0.3">
      <c r="B46" s="19"/>
      <c r="C46" s="19" t="s">
        <v>238</v>
      </c>
      <c r="D46" s="19"/>
      <c r="E46" s="19"/>
      <c r="F46" s="37"/>
      <c r="G46" s="426"/>
      <c r="H46" s="426"/>
      <c r="I46" s="426"/>
      <c r="J46" s="426"/>
      <c r="K46" s="427"/>
      <c r="L46" s="428">
        <f>Model!L316</f>
        <v>-1375.1000000000001</v>
      </c>
      <c r="M46" s="432">
        <f>Model!M316</f>
        <v>0</v>
      </c>
      <c r="N46" s="432">
        <f>Model!N316</f>
        <v>0</v>
      </c>
      <c r="O46" s="432">
        <f>Model!O316</f>
        <v>0</v>
      </c>
      <c r="P46" s="432">
        <f>Model!P316</f>
        <v>0</v>
      </c>
    </row>
    <row r="47" spans="2:16" x14ac:dyDescent="0.3">
      <c r="B47" s="19"/>
      <c r="C47" s="56" t="s">
        <v>258</v>
      </c>
      <c r="D47" s="19"/>
      <c r="E47" s="19"/>
      <c r="F47" s="37"/>
      <c r="G47" s="138"/>
      <c r="H47" s="137"/>
      <c r="I47" s="41"/>
      <c r="J47" s="42"/>
      <c r="K47" s="6"/>
      <c r="L47" s="429">
        <f>SUM(L40:L46)</f>
        <v>5885.913117112952</v>
      </c>
      <c r="M47" s="429">
        <f t="shared" ref="M47:P47" si="3">SUM(M40:M46)</f>
        <v>8476.1895957195247</v>
      </c>
      <c r="N47" s="429">
        <f t="shared" si="3"/>
        <v>10163.950523989504</v>
      </c>
      <c r="O47" s="429">
        <f t="shared" si="3"/>
        <v>11350.10397857026</v>
      </c>
      <c r="P47" s="429">
        <f t="shared" si="3"/>
        <v>12904.077823975498</v>
      </c>
    </row>
    <row r="48" spans="2:16" x14ac:dyDescent="0.3">
      <c r="B48" s="401"/>
      <c r="C48" s="430" t="s">
        <v>259</v>
      </c>
      <c r="D48" s="412"/>
      <c r="E48" s="412"/>
      <c r="F48" s="413"/>
      <c r="G48" s="414"/>
      <c r="H48" s="408"/>
      <c r="I48" s="415"/>
      <c r="J48" s="415"/>
      <c r="K48" s="416"/>
      <c r="L48" s="431"/>
      <c r="M48" s="434">
        <f>M47/L47-1</f>
        <v>0.44008065139043473</v>
      </c>
      <c r="N48" s="434">
        <f t="shared" ref="N48:P48" si="4">N47/M47-1</f>
        <v>0.1991178830075131</v>
      </c>
      <c r="O48" s="434">
        <f t="shared" si="4"/>
        <v>0.11670200989085222</v>
      </c>
      <c r="P48" s="434">
        <f t="shared" si="4"/>
        <v>0.13691274091754946</v>
      </c>
    </row>
    <row r="49" spans="2:16" x14ac:dyDescent="0.3">
      <c r="B49" s="401"/>
      <c r="C49" s="417"/>
      <c r="D49" s="401"/>
      <c r="E49" s="401"/>
      <c r="F49" s="418"/>
      <c r="G49" s="414"/>
      <c r="H49" s="408"/>
      <c r="I49" s="415"/>
      <c r="J49" s="415"/>
      <c r="K49" s="416"/>
      <c r="L49" s="292"/>
      <c r="M49" s="292"/>
      <c r="N49" s="292"/>
      <c r="O49" s="292"/>
      <c r="P49" s="292"/>
    </row>
    <row r="50" spans="2:16" x14ac:dyDescent="0.3">
      <c r="B50" s="404"/>
      <c r="C50" s="401"/>
      <c r="D50" s="401"/>
      <c r="E50" s="401"/>
      <c r="F50" s="402"/>
      <c r="G50" s="407"/>
      <c r="H50" s="408"/>
      <c r="I50" s="408"/>
      <c r="J50" s="408"/>
      <c r="K50" s="419"/>
      <c r="L50" s="307"/>
      <c r="M50" s="307"/>
      <c r="N50" s="307"/>
      <c r="O50" s="307"/>
      <c r="P50" s="307"/>
    </row>
    <row r="51" spans="2:16" x14ac:dyDescent="0.3">
      <c r="B51" s="422"/>
      <c r="C51" s="422"/>
      <c r="D51" s="397"/>
      <c r="E51" s="397"/>
      <c r="F51" s="423"/>
      <c r="G51" s="424"/>
      <c r="H51" s="424"/>
      <c r="I51" s="424"/>
      <c r="J51" s="424"/>
      <c r="K51" s="425"/>
      <c r="L51" s="444"/>
      <c r="M51" s="444"/>
      <c r="N51" s="444"/>
      <c r="O51" s="444"/>
      <c r="P51" s="444"/>
    </row>
    <row r="52" spans="2:16" x14ac:dyDescent="0.3">
      <c r="B52" s="404"/>
      <c r="C52" s="401"/>
      <c r="D52" s="401"/>
      <c r="E52" s="401"/>
      <c r="F52" s="402"/>
      <c r="G52" s="398"/>
      <c r="H52" s="398"/>
      <c r="I52" s="398"/>
      <c r="J52" s="398"/>
      <c r="K52" s="399"/>
      <c r="L52" s="307"/>
      <c r="M52" s="307"/>
      <c r="N52" s="307"/>
      <c r="O52" s="307"/>
      <c r="P52" s="307"/>
    </row>
    <row r="53" spans="2:16" x14ac:dyDescent="0.3">
      <c r="B53" s="404"/>
      <c r="C53" s="401"/>
      <c r="D53" s="401"/>
      <c r="E53" s="401"/>
      <c r="F53" s="402"/>
      <c r="G53" s="398"/>
      <c r="H53" s="398"/>
      <c r="I53" s="398"/>
      <c r="J53" s="398"/>
      <c r="K53" s="399"/>
      <c r="L53" s="307"/>
      <c r="M53" s="307"/>
      <c r="N53" s="307"/>
      <c r="O53" s="307"/>
      <c r="P53" s="307"/>
    </row>
    <row r="54" spans="2:16" x14ac:dyDescent="0.3">
      <c r="B54" s="404"/>
      <c r="C54" s="404"/>
      <c r="D54" s="401"/>
      <c r="E54" s="401"/>
      <c r="F54" s="402"/>
      <c r="G54" s="398"/>
      <c r="H54" s="398"/>
      <c r="I54" s="398"/>
      <c r="J54" s="398"/>
      <c r="K54" s="399"/>
      <c r="L54" s="396"/>
      <c r="M54" s="396"/>
      <c r="N54" s="396"/>
      <c r="O54" s="396"/>
      <c r="P54" s="396"/>
    </row>
    <row r="55" spans="2:16" ht="22.8" x14ac:dyDescent="0.4">
      <c r="B55" s="21" t="str">
        <f>B2</f>
        <v>ASML</v>
      </c>
      <c r="C55" s="17"/>
      <c r="D55" s="17"/>
      <c r="E55" s="17"/>
      <c r="F55" s="18"/>
      <c r="G55" s="18"/>
      <c r="H55" s="17"/>
      <c r="I55" s="17"/>
      <c r="J55" s="17"/>
      <c r="K55" s="326"/>
      <c r="L55" s="275"/>
      <c r="M55" s="275"/>
      <c r="N55" s="275"/>
      <c r="O55" s="275"/>
      <c r="P55" s="275"/>
    </row>
    <row r="56" spans="2:16" ht="17.399999999999999" x14ac:dyDescent="0.3">
      <c r="B56" s="23" t="s">
        <v>260</v>
      </c>
      <c r="C56" s="24"/>
      <c r="D56" s="24"/>
      <c r="E56" s="24"/>
      <c r="F56" s="25"/>
      <c r="G56" s="25"/>
      <c r="H56" s="24"/>
      <c r="I56" s="24"/>
      <c r="J56" s="24"/>
      <c r="K56" s="327"/>
      <c r="L56" s="277"/>
      <c r="M56" s="277"/>
      <c r="N56" s="277"/>
      <c r="O56" s="277"/>
      <c r="P56" s="277"/>
    </row>
    <row r="57" spans="2:16" ht="18" thickBot="1" x14ac:dyDescent="0.35">
      <c r="B57" s="26"/>
      <c r="C57" s="27"/>
      <c r="D57" s="27"/>
      <c r="E57" s="27"/>
      <c r="F57" s="28"/>
      <c r="G57" s="28"/>
      <c r="H57" s="27"/>
      <c r="I57" s="27"/>
      <c r="J57" s="27"/>
      <c r="K57" s="328"/>
      <c r="L57" s="278"/>
      <c r="M57" s="278"/>
      <c r="N57" s="278"/>
      <c r="O57" s="278"/>
      <c r="P57" s="278"/>
    </row>
    <row r="58" spans="2:16" ht="17.399999999999999" x14ac:dyDescent="0.3">
      <c r="B58" s="533" t="s">
        <v>319</v>
      </c>
      <c r="C58" s="24"/>
      <c r="D58" s="24"/>
      <c r="E58" s="24"/>
      <c r="F58" s="25"/>
      <c r="G58" s="25"/>
      <c r="H58" s="24"/>
      <c r="I58" s="24"/>
      <c r="J58" s="24"/>
      <c r="K58" s="327"/>
      <c r="L58" s="277"/>
      <c r="M58" s="277"/>
      <c r="N58" s="277"/>
      <c r="O58" s="277"/>
      <c r="P58" s="277"/>
    </row>
    <row r="59" spans="2:16" x14ac:dyDescent="0.3">
      <c r="B59" s="19"/>
      <c r="C59" s="19"/>
      <c r="D59" s="19"/>
      <c r="E59" s="19"/>
      <c r="F59" s="30"/>
      <c r="G59" s="31"/>
      <c r="H59" s="19"/>
      <c r="I59" s="19"/>
      <c r="J59" s="19"/>
      <c r="K59" s="329"/>
      <c r="L59" s="279" t="s">
        <v>1</v>
      </c>
      <c r="M59" s="280"/>
      <c r="N59" s="280"/>
      <c r="O59" s="280"/>
      <c r="P59" s="280"/>
    </row>
    <row r="60" spans="2:16" x14ac:dyDescent="0.3">
      <c r="B60" s="19"/>
      <c r="C60" s="19"/>
      <c r="D60" s="19"/>
      <c r="E60" s="19"/>
      <c r="F60" s="30"/>
      <c r="G60" s="32">
        <f>H60-1</f>
        <v>2020</v>
      </c>
      <c r="H60" s="13">
        <f>I60-1</f>
        <v>2021</v>
      </c>
      <c r="I60" s="33">
        <f>J60-1</f>
        <v>2022</v>
      </c>
      <c r="J60" s="33">
        <f>K60-1</f>
        <v>2023</v>
      </c>
      <c r="K60" s="1">
        <f>L60-1</f>
        <v>2024</v>
      </c>
      <c r="L60" s="315">
        <f>L36</f>
        <v>2025</v>
      </c>
      <c r="M60" s="315">
        <f>L60+1</f>
        <v>2026</v>
      </c>
      <c r="N60" s="315">
        <f t="shared" ref="N60" si="5">M60+1</f>
        <v>2027</v>
      </c>
      <c r="O60" s="315">
        <f t="shared" ref="O60" si="6">N60+1</f>
        <v>2028</v>
      </c>
      <c r="P60" s="315">
        <f t="shared" ref="P60" si="7">O60+1</f>
        <v>2029</v>
      </c>
    </row>
    <row r="61" spans="2:16" x14ac:dyDescent="0.3">
      <c r="B61" s="45"/>
      <c r="C61" s="19"/>
      <c r="D61" s="19"/>
      <c r="E61" s="19"/>
      <c r="F61" s="37"/>
      <c r="G61" s="138"/>
      <c r="H61" s="137"/>
      <c r="I61" s="35"/>
      <c r="J61" s="35"/>
      <c r="K61" s="2"/>
      <c r="L61" s="283"/>
      <c r="M61" s="283"/>
      <c r="N61" s="283"/>
      <c r="O61" s="283"/>
      <c r="P61" s="283"/>
    </row>
    <row r="62" spans="2:16" x14ac:dyDescent="0.3">
      <c r="C62" s="19" t="s">
        <v>258</v>
      </c>
      <c r="D62" s="19"/>
      <c r="E62" s="19"/>
      <c r="F62" s="37"/>
      <c r="G62" s="155"/>
      <c r="H62" s="155"/>
      <c r="I62" s="155"/>
      <c r="J62" s="155"/>
      <c r="K62" s="330"/>
      <c r="L62" s="273">
        <f>L47</f>
        <v>5885.913117112952</v>
      </c>
      <c r="M62" s="273">
        <f t="shared" ref="M62:P62" si="8">M47</f>
        <v>8476.1895957195247</v>
      </c>
      <c r="N62" s="273">
        <f t="shared" si="8"/>
        <v>10163.950523989504</v>
      </c>
      <c r="O62" s="273">
        <f t="shared" si="8"/>
        <v>11350.10397857026</v>
      </c>
      <c r="P62" s="273">
        <f t="shared" si="8"/>
        <v>12904.077823975498</v>
      </c>
    </row>
    <row r="63" spans="2:16" x14ac:dyDescent="0.3">
      <c r="B63" s="45"/>
      <c r="C63" s="19" t="s">
        <v>262</v>
      </c>
      <c r="D63" s="19"/>
      <c r="E63" s="19"/>
      <c r="F63" s="37"/>
      <c r="G63" s="155"/>
      <c r="H63" s="155"/>
      <c r="I63" s="155"/>
      <c r="J63" s="155"/>
      <c r="K63" s="330"/>
      <c r="L63" s="273">
        <f>L60-$L$60+0.5</f>
        <v>0.5</v>
      </c>
      <c r="M63" s="273">
        <f t="shared" ref="M63:P63" si="9">M60-$L$60+0.5</f>
        <v>1.5</v>
      </c>
      <c r="N63" s="273">
        <f t="shared" si="9"/>
        <v>2.5</v>
      </c>
      <c r="O63" s="273">
        <f t="shared" si="9"/>
        <v>3.5</v>
      </c>
      <c r="P63" s="273">
        <f t="shared" si="9"/>
        <v>4.5</v>
      </c>
    </row>
    <row r="64" spans="2:16" x14ac:dyDescent="0.3">
      <c r="B64" s="45"/>
      <c r="C64" s="19" t="s">
        <v>261</v>
      </c>
      <c r="D64" s="19"/>
      <c r="E64" s="19"/>
      <c r="F64" s="37"/>
      <c r="G64" s="155"/>
      <c r="H64" s="155"/>
      <c r="I64" s="155"/>
      <c r="J64" s="155"/>
      <c r="K64" s="330"/>
      <c r="L64" s="440">
        <f>1/(1+$G$25)^L63</f>
        <v>0.94934973611750673</v>
      </c>
      <c r="M64" s="440">
        <f>1/(1+$G$25)^M63</f>
        <v>0.85561561536607322</v>
      </c>
      <c r="N64" s="440">
        <f>1/(1+$G$25)^N63</f>
        <v>0.77113634038831225</v>
      </c>
      <c r="O64" s="440">
        <f>1/(1+$G$25)^O63</f>
        <v>0.69499813325994375</v>
      </c>
      <c r="P64" s="440">
        <f>1/(1+$G$25)^P63</f>
        <v>0.62637743799180379</v>
      </c>
    </row>
    <row r="65" spans="2:16" x14ac:dyDescent="0.3">
      <c r="B65" s="45"/>
      <c r="C65" s="19" t="s">
        <v>265</v>
      </c>
      <c r="D65" s="19"/>
      <c r="E65" s="19"/>
      <c r="F65" s="37"/>
      <c r="G65" s="155"/>
      <c r="H65" s="155"/>
      <c r="I65" s="155"/>
      <c r="J65" s="155"/>
      <c r="K65" s="330"/>
      <c r="L65" s="273">
        <f>L62*L64</f>
        <v>5587.7900645417521</v>
      </c>
      <c r="M65" s="273">
        <f t="shared" ref="M65:P65" si="10">M62*M64</f>
        <v>7252.3601769010684</v>
      </c>
      <c r="N65" s="273">
        <f t="shared" si="10"/>
        <v>7837.7916109571352</v>
      </c>
      <c r="O65" s="273">
        <f t="shared" si="10"/>
        <v>7888.3010774125914</v>
      </c>
      <c r="P65" s="273">
        <f t="shared" si="10"/>
        <v>8082.8232070286231</v>
      </c>
    </row>
    <row r="66" spans="2:16" x14ac:dyDescent="0.3">
      <c r="B66" s="19"/>
      <c r="C66" s="56" t="s">
        <v>266</v>
      </c>
      <c r="D66" s="19"/>
      <c r="E66" s="19"/>
      <c r="F66" s="37"/>
      <c r="G66" s="155"/>
      <c r="H66" s="155"/>
      <c r="I66" s="155"/>
      <c r="J66" s="155"/>
      <c r="K66" s="330"/>
      <c r="L66" s="534">
        <f>SUM(L65:P65)</f>
        <v>36649.066136841167</v>
      </c>
      <c r="M66" s="534"/>
      <c r="N66" s="534"/>
      <c r="O66" s="534"/>
      <c r="P66" s="534"/>
    </row>
    <row r="67" spans="2:16" x14ac:dyDescent="0.3">
      <c r="B67" s="19"/>
      <c r="C67" s="19"/>
      <c r="D67" s="19"/>
      <c r="E67" s="19"/>
      <c r="F67" s="37"/>
      <c r="G67" s="155"/>
      <c r="H67" s="155"/>
      <c r="I67" s="155"/>
      <c r="J67" s="155"/>
      <c r="K67" s="330"/>
      <c r="L67" s="301"/>
      <c r="M67" s="301"/>
      <c r="N67" s="301"/>
      <c r="O67" s="301"/>
      <c r="P67" s="301"/>
    </row>
    <row r="68" spans="2:16" x14ac:dyDescent="0.3">
      <c r="B68" s="19"/>
      <c r="C68" s="19"/>
      <c r="D68" s="19"/>
      <c r="E68" s="19"/>
      <c r="F68" s="37"/>
      <c r="G68" s="155"/>
      <c r="H68" s="155"/>
      <c r="I68" s="155"/>
      <c r="J68" s="155"/>
      <c r="K68" s="330"/>
      <c r="L68" s="301"/>
      <c r="M68" s="301"/>
      <c r="N68" s="301"/>
      <c r="O68" s="301"/>
      <c r="P68" s="301"/>
    </row>
    <row r="69" spans="2:16" x14ac:dyDescent="0.3">
      <c r="B69" s="56" t="s">
        <v>267</v>
      </c>
      <c r="C69" s="19"/>
      <c r="D69" s="19"/>
      <c r="E69" s="19"/>
      <c r="F69" s="37"/>
      <c r="G69" s="155"/>
      <c r="H69" s="155"/>
      <c r="I69" s="155"/>
      <c r="J69" s="155"/>
      <c r="K69" s="330"/>
      <c r="L69" s="301"/>
      <c r="M69" s="301"/>
      <c r="N69" s="301"/>
      <c r="O69" s="301"/>
      <c r="P69" s="301"/>
    </row>
    <row r="70" spans="2:16" x14ac:dyDescent="0.3">
      <c r="B70" s="56"/>
      <c r="C70" s="19"/>
      <c r="D70" s="19"/>
      <c r="E70" s="19"/>
      <c r="F70" s="37"/>
      <c r="G70" s="155"/>
      <c r="H70" s="155"/>
      <c r="I70" s="155"/>
      <c r="J70" s="155"/>
      <c r="K70" s="330"/>
      <c r="L70" s="301"/>
      <c r="M70" s="301"/>
      <c r="N70" s="301"/>
      <c r="O70" s="301"/>
      <c r="P70" s="301"/>
    </row>
    <row r="71" spans="2:16" x14ac:dyDescent="0.3">
      <c r="B71" s="19"/>
      <c r="C71" s="19" t="s">
        <v>271</v>
      </c>
      <c r="D71" s="19"/>
      <c r="E71" s="19"/>
      <c r="F71" s="133"/>
      <c r="G71" s="437"/>
      <c r="H71" s="437"/>
      <c r="I71" s="437"/>
      <c r="J71" s="437"/>
      <c r="K71" s="438"/>
      <c r="L71" s="301"/>
      <c r="M71" s="439"/>
      <c r="N71" s="439"/>
      <c r="O71" s="439"/>
      <c r="P71" s="439"/>
    </row>
    <row r="72" spans="2:16" x14ac:dyDescent="0.3">
      <c r="B72" s="19"/>
      <c r="C72" s="19" t="s">
        <v>272</v>
      </c>
      <c r="D72" s="19"/>
      <c r="E72" s="19"/>
      <c r="F72" s="37"/>
      <c r="G72" s="255">
        <f>Assumptions!Q26</f>
        <v>0.03</v>
      </c>
      <c r="H72" s="137"/>
      <c r="I72" s="41"/>
      <c r="J72" s="42"/>
      <c r="K72" s="6"/>
      <c r="L72" s="435"/>
      <c r="M72" s="435"/>
      <c r="N72" s="435"/>
      <c r="O72" s="435"/>
      <c r="P72" s="435"/>
    </row>
    <row r="73" spans="2:16" x14ac:dyDescent="0.3">
      <c r="B73" s="401"/>
      <c r="C73" s="19" t="s">
        <v>273</v>
      </c>
      <c r="D73" s="412"/>
      <c r="E73" s="412"/>
      <c r="F73" s="413"/>
      <c r="G73" s="273">
        <f>P62</f>
        <v>12904.077823975498</v>
      </c>
      <c r="H73" s="408"/>
      <c r="I73" s="415"/>
      <c r="J73" s="415"/>
      <c r="K73" s="416"/>
      <c r="L73" s="431"/>
      <c r="M73" s="436"/>
      <c r="N73" s="436"/>
      <c r="O73" s="436"/>
      <c r="P73" s="436"/>
    </row>
    <row r="74" spans="2:16" x14ac:dyDescent="0.3">
      <c r="C74" s="56" t="s">
        <v>277</v>
      </c>
      <c r="G74" s="429">
        <f>(G73*(1+G72))/(G25-G72)</f>
        <v>167076.31558730549</v>
      </c>
    </row>
    <row r="75" spans="2:16" x14ac:dyDescent="0.3">
      <c r="C75" s="56" t="s">
        <v>276</v>
      </c>
      <c r="G75" s="441">
        <f>G74/(1+G25)^P63</f>
        <v>104652.83450668649</v>
      </c>
    </row>
    <row r="77" spans="2:16" x14ac:dyDescent="0.3">
      <c r="C77" s="19" t="s">
        <v>274</v>
      </c>
    </row>
    <row r="78" spans="2:16" x14ac:dyDescent="0.3">
      <c r="C78" s="19" t="s">
        <v>244</v>
      </c>
      <c r="G78" s="442">
        <f>Assumptions!Q27</f>
        <v>30</v>
      </c>
    </row>
    <row r="79" spans="2:16" x14ac:dyDescent="0.3">
      <c r="C79" s="19" t="s">
        <v>275</v>
      </c>
      <c r="G79" s="273">
        <f>Model!P286</f>
        <v>21109.198152984365</v>
      </c>
    </row>
    <row r="80" spans="2:16" x14ac:dyDescent="0.3">
      <c r="C80" s="56" t="s">
        <v>277</v>
      </c>
      <c r="G80" s="429">
        <f>G78*G79</f>
        <v>633275.94458953093</v>
      </c>
    </row>
    <row r="81" spans="2:16" x14ac:dyDescent="0.3">
      <c r="C81" s="56" t="s">
        <v>276</v>
      </c>
      <c r="G81" s="441">
        <f>G80/(1+G25)^P63</f>
        <v>396669.76371382986</v>
      </c>
    </row>
    <row r="82" spans="2:16" x14ac:dyDescent="0.3">
      <c r="C82" s="19"/>
    </row>
    <row r="83" spans="2:16" x14ac:dyDescent="0.3">
      <c r="C83" s="19"/>
    </row>
    <row r="84" spans="2:16" x14ac:dyDescent="0.3">
      <c r="B84" s="445"/>
      <c r="C84" s="445"/>
      <c r="D84" s="445"/>
      <c r="E84" s="445"/>
      <c r="F84" s="445"/>
      <c r="G84" s="445"/>
      <c r="H84" s="445"/>
      <c r="I84" s="445"/>
      <c r="J84" s="445"/>
      <c r="K84" s="445"/>
      <c r="L84" s="445"/>
      <c r="M84" s="445"/>
      <c r="N84" s="445"/>
      <c r="O84" s="445"/>
      <c r="P84" s="445"/>
    </row>
    <row r="88" spans="2:16" ht="22.8" x14ac:dyDescent="0.4">
      <c r="B88" s="21" t="str">
        <f>B2</f>
        <v>ASML</v>
      </c>
      <c r="C88" s="17"/>
      <c r="D88" s="17"/>
      <c r="E88" s="17"/>
      <c r="F88" s="18"/>
      <c r="G88" s="18"/>
      <c r="H88" s="17"/>
      <c r="I88" s="17"/>
      <c r="J88" s="17"/>
      <c r="K88" s="326"/>
      <c r="L88" s="275"/>
      <c r="M88" s="275"/>
      <c r="N88" s="275"/>
      <c r="O88" s="275"/>
      <c r="P88" s="275"/>
    </row>
    <row r="89" spans="2:16" ht="17.399999999999999" x14ac:dyDescent="0.3">
      <c r="B89" s="23" t="s">
        <v>288</v>
      </c>
      <c r="C89" s="24"/>
      <c r="D89" s="24"/>
      <c r="E89" s="24"/>
      <c r="F89" s="25"/>
      <c r="G89" s="25"/>
      <c r="H89" s="24"/>
      <c r="I89" s="24"/>
      <c r="J89" s="24"/>
      <c r="K89" s="327"/>
      <c r="L89" s="277"/>
      <c r="M89" s="277"/>
      <c r="N89" s="277"/>
      <c r="O89" s="277"/>
      <c r="P89" s="277"/>
    </row>
    <row r="90" spans="2:16" ht="18" thickBot="1" x14ac:dyDescent="0.35">
      <c r="B90" s="26"/>
      <c r="C90" s="27"/>
      <c r="D90" s="27"/>
      <c r="E90" s="27"/>
      <c r="F90" s="28"/>
      <c r="G90" s="28"/>
      <c r="H90" s="27"/>
      <c r="I90" s="27"/>
      <c r="J90" s="27"/>
      <c r="K90" s="328"/>
      <c r="L90" s="278"/>
      <c r="M90" s="278"/>
      <c r="N90" s="278"/>
      <c r="O90" s="278"/>
      <c r="P90" s="278"/>
    </row>
    <row r="91" spans="2:16" ht="17.399999999999999" x14ac:dyDescent="0.3">
      <c r="B91" s="533" t="s">
        <v>319</v>
      </c>
      <c r="C91" s="24"/>
      <c r="D91" s="24"/>
      <c r="E91" s="24"/>
      <c r="F91" s="25"/>
      <c r="G91" s="25"/>
      <c r="H91" s="24"/>
      <c r="I91" s="24"/>
      <c r="J91" s="24"/>
      <c r="K91" s="327"/>
      <c r="L91" s="277"/>
      <c r="M91" s="277"/>
      <c r="N91" s="277"/>
      <c r="O91" s="277"/>
      <c r="P91" s="277"/>
    </row>
    <row r="92" spans="2:16" x14ac:dyDescent="0.3">
      <c r="B92" s="19"/>
      <c r="C92" s="19"/>
      <c r="D92" s="19"/>
      <c r="E92" s="19"/>
      <c r="F92" s="30"/>
      <c r="G92" s="32"/>
      <c r="H92" s="13"/>
      <c r="I92" s="33"/>
      <c r="J92" s="33"/>
      <c r="K92" s="1"/>
      <c r="L92" s="281"/>
      <c r="M92" s="281"/>
      <c r="N92" s="281"/>
      <c r="O92" s="281"/>
      <c r="P92" s="281"/>
    </row>
    <row r="93" spans="2:16" x14ac:dyDescent="0.3">
      <c r="B93" s="56"/>
      <c r="C93" s="19"/>
      <c r="D93" s="19"/>
      <c r="E93" s="19"/>
      <c r="F93" s="30"/>
      <c r="G93" s="446" t="s">
        <v>279</v>
      </c>
      <c r="H93" s="446" t="s">
        <v>278</v>
      </c>
      <c r="I93" s="33"/>
      <c r="J93" s="33"/>
      <c r="K93" s="1"/>
      <c r="L93" s="281"/>
      <c r="M93" s="281"/>
      <c r="N93" s="281"/>
      <c r="O93" s="281"/>
      <c r="P93" s="281"/>
    </row>
    <row r="94" spans="2:16" x14ac:dyDescent="0.3">
      <c r="B94" s="19"/>
      <c r="C94" s="19" t="s">
        <v>280</v>
      </c>
      <c r="D94" s="19"/>
      <c r="E94" s="19"/>
      <c r="F94" s="30"/>
      <c r="G94" s="273">
        <f>L66</f>
        <v>36649.066136841167</v>
      </c>
      <c r="H94" s="273">
        <f>G94</f>
        <v>36649.066136841167</v>
      </c>
      <c r="I94" s="35"/>
      <c r="J94" s="35"/>
      <c r="K94" s="2"/>
      <c r="L94" s="282"/>
      <c r="M94" s="282"/>
      <c r="N94" s="282"/>
      <c r="O94" s="282"/>
      <c r="P94" s="282"/>
    </row>
    <row r="95" spans="2:16" x14ac:dyDescent="0.3">
      <c r="B95" s="388"/>
      <c r="C95" s="389" t="s">
        <v>276</v>
      </c>
      <c r="D95" s="389"/>
      <c r="E95" s="389"/>
      <c r="F95" s="390"/>
      <c r="G95" s="273">
        <f>G75</f>
        <v>104652.83450668649</v>
      </c>
      <c r="H95" s="273">
        <f>G81</f>
        <v>396669.76371382986</v>
      </c>
      <c r="I95" s="392"/>
      <c r="J95" s="392"/>
      <c r="K95" s="393"/>
      <c r="L95" s="283"/>
      <c r="M95" s="283"/>
      <c r="N95" s="283"/>
      <c r="O95" s="283"/>
      <c r="P95" s="283"/>
    </row>
    <row r="96" spans="2:16" x14ac:dyDescent="0.3">
      <c r="B96" s="388"/>
      <c r="C96" s="56" t="s">
        <v>281</v>
      </c>
      <c r="D96" s="389"/>
      <c r="E96" s="389"/>
      <c r="F96" s="390"/>
      <c r="G96" s="441">
        <f>G94+G95</f>
        <v>141301.90064352765</v>
      </c>
      <c r="H96" s="441">
        <f>H94+H95</f>
        <v>433318.829850671</v>
      </c>
      <c r="I96" s="394"/>
      <c r="J96" s="394"/>
      <c r="K96" s="395"/>
      <c r="L96" s="396"/>
      <c r="M96" s="396"/>
      <c r="N96" s="396"/>
      <c r="O96" s="396"/>
      <c r="P96" s="396"/>
    </row>
    <row r="97" spans="2:16" x14ac:dyDescent="0.3">
      <c r="B97" s="388"/>
      <c r="C97" s="19" t="s">
        <v>252</v>
      </c>
      <c r="D97" s="389"/>
      <c r="E97" s="389"/>
      <c r="F97" s="390"/>
      <c r="G97" s="273">
        <f>-G20</f>
        <v>-3677.3</v>
      </c>
      <c r="H97" s="273">
        <f>G97</f>
        <v>-3677.3</v>
      </c>
      <c r="I97" s="394"/>
      <c r="J97" s="394"/>
      <c r="K97" s="395"/>
      <c r="L97" s="396"/>
      <c r="M97" s="396"/>
      <c r="N97" s="396"/>
      <c r="O97" s="396"/>
      <c r="P97" s="396"/>
    </row>
    <row r="98" spans="2:16" x14ac:dyDescent="0.3">
      <c r="B98" s="400"/>
      <c r="C98" s="19" t="s">
        <v>282</v>
      </c>
      <c r="D98" s="401"/>
      <c r="E98" s="401"/>
      <c r="F98" s="402"/>
      <c r="G98" s="273">
        <f>Model!K342</f>
        <v>12735.9</v>
      </c>
      <c r="H98" s="273">
        <f>G98</f>
        <v>12735.9</v>
      </c>
      <c r="I98" s="394"/>
      <c r="J98" s="394"/>
      <c r="K98" s="395"/>
      <c r="L98" s="403"/>
      <c r="M98" s="403"/>
      <c r="N98" s="403"/>
      <c r="O98" s="403"/>
      <c r="P98" s="403"/>
    </row>
    <row r="99" spans="2:16" x14ac:dyDescent="0.3">
      <c r="B99" s="56"/>
      <c r="C99" s="19" t="s">
        <v>283</v>
      </c>
      <c r="D99" s="401"/>
      <c r="E99" s="401"/>
      <c r="F99" s="402"/>
      <c r="G99" s="273">
        <f>Model!K357</f>
        <v>903</v>
      </c>
      <c r="H99" s="273">
        <f>G99</f>
        <v>903</v>
      </c>
      <c r="I99" s="394"/>
      <c r="J99" s="394"/>
      <c r="K99" s="395"/>
      <c r="L99" s="403"/>
      <c r="M99" s="403"/>
      <c r="N99" s="403"/>
      <c r="O99" s="403"/>
      <c r="P99" s="403"/>
    </row>
    <row r="100" spans="2:16" x14ac:dyDescent="0.3">
      <c r="B100" s="401"/>
      <c r="C100" s="56" t="s">
        <v>284</v>
      </c>
      <c r="D100" s="401"/>
      <c r="E100" s="401"/>
      <c r="F100" s="402"/>
      <c r="G100" s="441">
        <f>SUM(G96:G99)</f>
        <v>151263.50064352766</v>
      </c>
      <c r="H100" s="441">
        <f>SUM(H96:H99)</f>
        <v>443280.42985067103</v>
      </c>
      <c r="I100" s="394"/>
      <c r="J100" s="394"/>
      <c r="K100" s="395"/>
      <c r="L100" s="403"/>
      <c r="M100" s="403"/>
      <c r="N100" s="403"/>
      <c r="O100" s="403"/>
      <c r="P100" s="403"/>
    </row>
    <row r="101" spans="2:16" x14ac:dyDescent="0.3">
      <c r="B101" s="401"/>
      <c r="C101" s="19" t="s">
        <v>285</v>
      </c>
      <c r="D101" s="401"/>
      <c r="E101" s="401"/>
      <c r="F101" s="402"/>
      <c r="G101" s="273">
        <f>Assumptions!Q28</f>
        <v>385.4</v>
      </c>
      <c r="H101" s="273">
        <f>G101</f>
        <v>385.4</v>
      </c>
      <c r="I101" s="394"/>
      <c r="J101" s="394"/>
      <c r="K101" s="395"/>
      <c r="L101" s="403"/>
      <c r="M101" s="403"/>
      <c r="N101" s="403"/>
      <c r="O101" s="403"/>
      <c r="P101" s="403"/>
    </row>
    <row r="102" spans="2:16" x14ac:dyDescent="0.3">
      <c r="B102" s="401"/>
      <c r="C102" s="56" t="s">
        <v>286</v>
      </c>
      <c r="D102" s="401"/>
      <c r="E102" s="401"/>
      <c r="F102" s="402"/>
      <c r="G102" s="441">
        <f>G100/G101</f>
        <v>392.48443342897684</v>
      </c>
      <c r="H102" s="441">
        <f>H100/H101</f>
        <v>1150.1827448123277</v>
      </c>
      <c r="I102" s="394"/>
      <c r="J102" s="394"/>
      <c r="K102" s="395"/>
      <c r="L102" s="403"/>
      <c r="M102" s="403"/>
      <c r="N102" s="403"/>
      <c r="O102" s="403"/>
      <c r="P102" s="403"/>
    </row>
    <row r="103" spans="2:16" x14ac:dyDescent="0.3">
      <c r="B103" s="401"/>
      <c r="C103" s="19" t="s">
        <v>246</v>
      </c>
      <c r="D103" s="401"/>
      <c r="E103" s="401"/>
      <c r="F103" s="402"/>
      <c r="G103" s="273">
        <f>Assumptions!Q29</f>
        <v>1179.5999999999999</v>
      </c>
      <c r="H103" s="273">
        <f>G103</f>
        <v>1179.5999999999999</v>
      </c>
      <c r="I103" s="394"/>
      <c r="J103" s="394"/>
      <c r="K103" s="395"/>
      <c r="L103" s="403"/>
      <c r="M103" s="403"/>
      <c r="N103" s="403"/>
      <c r="O103" s="403"/>
      <c r="P103" s="403"/>
    </row>
    <row r="104" spans="2:16" x14ac:dyDescent="0.3">
      <c r="B104" s="56"/>
      <c r="C104" s="19" t="s">
        <v>287</v>
      </c>
      <c r="D104" s="401"/>
      <c r="E104" s="401"/>
      <c r="F104" s="402"/>
      <c r="G104" s="447">
        <f>G102/G103-1</f>
        <v>-0.66727328464820546</v>
      </c>
      <c r="H104" s="447">
        <f>H102/H103-1</f>
        <v>-2.4938330949196508E-2</v>
      </c>
      <c r="I104" s="405"/>
      <c r="J104" s="405"/>
      <c r="K104" s="406"/>
      <c r="L104" s="396"/>
      <c r="M104" s="396"/>
      <c r="N104" s="396"/>
      <c r="O104" s="396"/>
      <c r="P104" s="396"/>
    </row>
    <row r="105" spans="2:16" x14ac:dyDescent="0.3">
      <c r="B105" s="404"/>
      <c r="C105" s="401"/>
      <c r="D105" s="401"/>
      <c r="E105" s="401"/>
      <c r="F105" s="402"/>
      <c r="G105" s="398"/>
      <c r="H105" s="398"/>
      <c r="I105" s="398"/>
      <c r="J105" s="398"/>
      <c r="K105" s="399"/>
      <c r="L105" s="307"/>
      <c r="M105" s="307"/>
      <c r="N105" s="307"/>
      <c r="O105" s="307"/>
      <c r="P105" s="307"/>
    </row>
    <row r="106" spans="2:16" x14ac:dyDescent="0.3">
      <c r="B106" s="404"/>
      <c r="C106" s="401"/>
      <c r="D106" s="401"/>
      <c r="E106" s="401"/>
      <c r="F106" s="402"/>
      <c r="G106" s="398"/>
      <c r="H106" s="398"/>
      <c r="I106" s="398"/>
      <c r="J106" s="398"/>
      <c r="K106" s="399"/>
      <c r="L106" s="307"/>
      <c r="M106" s="307"/>
      <c r="N106" s="307"/>
      <c r="O106" s="307"/>
      <c r="P106" s="307"/>
    </row>
    <row r="107" spans="2:16" x14ac:dyDescent="0.3">
      <c r="B107" s="422"/>
      <c r="C107" s="397"/>
      <c r="D107" s="397"/>
      <c r="E107" s="397"/>
      <c r="F107" s="423"/>
      <c r="G107" s="424"/>
      <c r="H107" s="424"/>
      <c r="I107" s="424"/>
      <c r="J107" s="424"/>
      <c r="K107" s="425"/>
      <c r="L107" s="288"/>
      <c r="M107" s="288"/>
      <c r="N107" s="288"/>
      <c r="O107" s="288"/>
      <c r="P107" s="288"/>
    </row>
    <row r="111" spans="2:16" ht="22.8" x14ac:dyDescent="0.4">
      <c r="B111" s="21" t="str">
        <f>B2</f>
        <v>ASML</v>
      </c>
      <c r="C111" s="17"/>
      <c r="D111" s="17"/>
      <c r="E111" s="17"/>
      <c r="F111" s="18"/>
      <c r="G111" s="18"/>
      <c r="H111" s="17"/>
      <c r="I111" s="17"/>
      <c r="J111" s="17"/>
      <c r="K111" s="326"/>
      <c r="L111" s="275"/>
      <c r="M111" s="275"/>
      <c r="N111" s="275"/>
      <c r="O111" s="275"/>
      <c r="P111" s="275"/>
    </row>
    <row r="112" spans="2:16" ht="17.399999999999999" x14ac:dyDescent="0.3">
      <c r="B112" s="23" t="s">
        <v>291</v>
      </c>
      <c r="C112" s="24"/>
      <c r="D112" s="24"/>
      <c r="E112" s="24"/>
      <c r="F112" s="25"/>
      <c r="G112" s="25"/>
      <c r="H112" s="24"/>
      <c r="I112" s="24"/>
      <c r="J112" s="24"/>
      <c r="K112" s="327"/>
      <c r="L112" s="277"/>
      <c r="M112" s="277"/>
      <c r="N112" s="277"/>
      <c r="O112" s="277"/>
      <c r="P112" s="277"/>
    </row>
    <row r="113" spans="2:16" ht="18" thickBot="1" x14ac:dyDescent="0.35">
      <c r="B113" s="26"/>
      <c r="C113" s="27"/>
      <c r="D113" s="27"/>
      <c r="E113" s="27"/>
      <c r="F113" s="28"/>
      <c r="G113" s="28"/>
      <c r="H113" s="27"/>
      <c r="I113" s="27"/>
      <c r="J113" s="27"/>
      <c r="K113" s="328"/>
      <c r="L113" s="278"/>
      <c r="M113" s="278"/>
      <c r="N113" s="278"/>
      <c r="O113" s="278"/>
      <c r="P113" s="278"/>
    </row>
    <row r="114" spans="2:16" ht="17.399999999999999" x14ac:dyDescent="0.3">
      <c r="B114" s="24"/>
      <c r="C114" s="24"/>
      <c r="D114" s="24"/>
      <c r="E114" s="24"/>
      <c r="F114" s="25"/>
      <c r="G114" s="25"/>
      <c r="H114" s="24"/>
      <c r="I114" s="24"/>
      <c r="J114" s="24"/>
      <c r="K114" s="327"/>
      <c r="L114" s="277"/>
      <c r="M114" s="277"/>
      <c r="N114" s="277"/>
      <c r="O114" s="277"/>
      <c r="P114" s="277"/>
    </row>
    <row r="115" spans="2:16" x14ac:dyDescent="0.3">
      <c r="B115" s="449"/>
      <c r="C115" s="449"/>
      <c r="D115" s="449"/>
      <c r="E115" s="449"/>
      <c r="F115" s="450"/>
      <c r="G115" s="14"/>
      <c r="H115" s="451"/>
      <c r="I115" s="1"/>
      <c r="J115" s="1"/>
      <c r="K115" s="1"/>
      <c r="L115" s="281"/>
      <c r="M115" s="281"/>
      <c r="N115" s="281"/>
      <c r="O115" s="281"/>
      <c r="P115" s="281"/>
    </row>
    <row r="116" spans="2:16" x14ac:dyDescent="0.3">
      <c r="B116" s="452"/>
      <c r="C116" s="453"/>
      <c r="D116" s="453"/>
      <c r="E116" s="453"/>
      <c r="F116" s="454"/>
      <c r="G116" s="455"/>
      <c r="H116" s="455"/>
      <c r="I116" s="1"/>
      <c r="J116" s="1"/>
      <c r="K116" s="1"/>
      <c r="L116" s="281"/>
      <c r="M116" s="281"/>
      <c r="N116" s="281"/>
      <c r="O116" s="281"/>
      <c r="P116" s="281"/>
    </row>
    <row r="117" spans="2:16" x14ac:dyDescent="0.3">
      <c r="B117" s="449"/>
      <c r="C117" s="453"/>
      <c r="D117" s="453"/>
      <c r="E117" s="453"/>
      <c r="F117" s="454"/>
      <c r="G117" s="301"/>
      <c r="H117" s="301"/>
      <c r="I117" s="261"/>
      <c r="J117" s="261"/>
      <c r="K117" s="261"/>
      <c r="L117" s="282"/>
      <c r="M117" s="282"/>
      <c r="N117" s="282"/>
      <c r="O117" s="282"/>
      <c r="P117" s="282"/>
    </row>
    <row r="118" spans="2:16" x14ac:dyDescent="0.3">
      <c r="B118" s="456"/>
      <c r="C118" s="453"/>
      <c r="D118" s="453"/>
      <c r="E118" s="453"/>
      <c r="F118" s="457"/>
      <c r="G118" s="301"/>
      <c r="H118" s="301"/>
      <c r="L118" s="458"/>
      <c r="M118" s="458"/>
      <c r="N118" s="465" t="s">
        <v>257</v>
      </c>
      <c r="O118" s="283"/>
      <c r="P118" s="283"/>
    </row>
    <row r="119" spans="2:16" x14ac:dyDescent="0.3">
      <c r="B119" s="456"/>
      <c r="C119" s="466" t="s">
        <v>289</v>
      </c>
      <c r="D119" s="453"/>
      <c r="E119" s="453"/>
      <c r="G119" s="255">
        <v>0.01</v>
      </c>
      <c r="H119" s="292"/>
      <c r="K119" s="469"/>
      <c r="L119" s="470">
        <f>M119-G119</f>
        <v>9.0000000000000011E-2</v>
      </c>
      <c r="M119" s="470">
        <f>N119-G119</f>
        <v>0.1</v>
      </c>
      <c r="N119" s="470">
        <f>ROUND(G25,2)</f>
        <v>0.11</v>
      </c>
      <c r="O119" s="470">
        <f>N119+G119</f>
        <v>0.12</v>
      </c>
      <c r="P119" s="470">
        <f>O119+G119</f>
        <v>0.13</v>
      </c>
    </row>
    <row r="120" spans="2:16" x14ac:dyDescent="0.3">
      <c r="B120" s="456"/>
      <c r="C120" s="466" t="s">
        <v>290</v>
      </c>
      <c r="D120" s="453"/>
      <c r="E120" s="453"/>
      <c r="F120" s="457"/>
      <c r="G120" s="255">
        <v>0.01</v>
      </c>
      <c r="H120" s="301"/>
      <c r="I120" s="460"/>
      <c r="J120" s="460"/>
      <c r="K120" s="473">
        <f>K121-G120</f>
        <v>9.9999999999999967E-3</v>
      </c>
      <c r="L120" s="301">
        <f>IFERROR(($L$62/(1+L119)^0.5+$M$62/(1+L119)^1.5+$N$62/(1+L119)^2.5+$O$62/(1+L119)^3.5+$P$62/(1+L119)^4.5+($P$47*(1+$K$120)/(L119-$K$120))/(1+L119)^4.5-(Model!$K$366+Model!$K$373)+Model!$K$342+Model!$K$357)/Assumptions!$Q$28,"N/A")</f>
        <v>412.39604052861296</v>
      </c>
      <c r="M120" s="301">
        <f>IFERROR(($L$62/(1+M119)^0.5+$M$62/(1+M119)^1.5+$N$62/(1+M119)^2.5+$O$62/(1+M119)^3.5+$P$62/(1+M119)^4.5+($P$47*(1+$K$120)/(M119-$K$120))/(1+M119)^4.5-(Model!$K$366+Model!$K$373)+Model!$K$342+Model!$K$357)/Assumptions!$Q$28,"N/A")</f>
        <v>367.85079183667688</v>
      </c>
      <c r="N120" s="301">
        <f>IFERROR(($L$62/(1+N119)^0.5+$M$62/(1+N119)^1.5+$N$62/(1+N119)^2.5+$O$62/(1+N119)^3.5+$P$62/(1+N119)^4.5+($P$47*(1+$K$120)/(N119-$K$120))/(1+N119)^4.5-(Model!$K$366+Model!$K$373)+Model!$K$342+Model!$K$357)/Assumptions!$Q$28,"N/A")</f>
        <v>332.27723688112354</v>
      </c>
      <c r="O120" s="301">
        <f>IFERROR(($L$62/(1+O119)^0.5+$M$62/(1+O119)^1.5+$N$62/(1+O119)^2.5+$O$62/(1+O119)^3.5+$P$62/(1+O119)^4.5+($P$47*(1+$K$120)/(O119-$K$120))/(1+O119)^4.5-(Model!$K$366+Model!$K$373)+Model!$K$342+Model!$K$357)/Assumptions!$Q$28,"N/A")</f>
        <v>303.2260742260201</v>
      </c>
      <c r="P120" s="301">
        <f>IFERROR(($L$62/(1+P119)^0.5+$M$62/(1+P119)^1.5+$N$62/(1+P119)^2.5+$O$62/(1+P119)^3.5+$P$62/(1+P119)^4.5+($P$47*(1+$K$120)/(P119-$K$120))/(1+P119)^4.5-(Model!$K$366+Model!$K$373)+Model!$K$342+Model!$K$357)/Assumptions!$Q$28,"N/A")</f>
        <v>279.06455523586266</v>
      </c>
    </row>
    <row r="121" spans="2:16" x14ac:dyDescent="0.3">
      <c r="B121" s="461"/>
      <c r="C121" s="453" t="s">
        <v>292</v>
      </c>
      <c r="D121" s="453"/>
      <c r="E121" s="453"/>
      <c r="F121" s="457"/>
      <c r="G121" s="442">
        <v>5</v>
      </c>
      <c r="H121" s="301"/>
      <c r="I121" s="460"/>
      <c r="J121" s="460"/>
      <c r="K121" s="474">
        <f>K122-G120</f>
        <v>1.9999999999999997E-2</v>
      </c>
      <c r="L121" s="475">
        <f>IFERROR(($L$62/(1+L119)^0.5+$M$62/(1+L119)^1.5+$N$62/(1+L119)^2.5+$O$62/(1+L119)^3.5+$P$62/(1+L119)^4.5+($P$47*(1+$K$121)/(L119-$K$121))/(1+L119)^4.5-(Model!$K$366+Model!$K$373)+Model!$K$342+Model!$K$357)/Assumptions!$Q$28,"N/A")</f>
        <v>456.61764476126694</v>
      </c>
      <c r="M121" s="475">
        <f>IFERROR(($L$62/(1+M119)^0.5+$M$62/(1+M119)^1.5+$N$62/(1+M119)^2.5+$O$62/(1+M119)^3.5+$P$62/(1+M119)^4.5+($P$47*(1+$K$121)/(M119-$K$121))/(1+M119)^4.5-(Model!$K$366+Model!$K$373)+Model!$K$342+Model!$K$357)/Assumptions!$Q$28,"N/A")</f>
        <v>401.16337946644495</v>
      </c>
      <c r="N121" s="475">
        <f>IFERROR(($L$62/(1+N119)^0.5+$M$62/(1+N119)^1.5+$N$62/(1+N119)^2.5+$O$62/(1+N119)^3.5+$P$62/(1+N119)^4.5+($P$47*(1+$K$121)/(N119-$K$121))/(1+N119)^4.5-(Model!$K$366+Model!$K$373)+Model!$K$342+Model!$K$357)/Assumptions!$Q$28,"N/A")</f>
        <v>358.09640991610377</v>
      </c>
      <c r="O121" s="475">
        <f>IFERROR(($L$62/(1+O119)^0.5+$M$62/(1+O119)^1.5+$N$62/(1+O119)^2.5+$O$62/(1+O119)^3.5+$P$62/(1+O119)^4.5+($P$47*(1+$K$121)/(O119-$K$121))/(1+O119)^4.5-(Model!$K$366+Model!$K$373)+Model!$K$342+Model!$K$357)/Assumptions!$Q$28,"N/A")</f>
        <v>323.69803773607418</v>
      </c>
      <c r="P121" s="475">
        <f>IFERROR(($L$62/(1+P119)^0.5+$M$62/(1+P119)^1.5+$N$62/(1+P119)^2.5+$O$62/(1+P119)^3.5+$P$62/(1+P119)^4.5+($P$47*(1+$K$121)/(P119-$K$121))/(1+P119)^4.5-(Model!$K$366+Model!$K$373)+Model!$K$342+Model!$K$357)/Assumptions!$Q$28,"N/A")</f>
        <v>295.60193805533345</v>
      </c>
    </row>
    <row r="122" spans="2:16" x14ac:dyDescent="0.3">
      <c r="B122" s="452"/>
      <c r="C122" s="453"/>
      <c r="D122" s="453"/>
      <c r="E122" s="453"/>
      <c r="F122" s="457"/>
      <c r="G122" s="301"/>
      <c r="H122" s="301"/>
      <c r="I122" s="467" t="s">
        <v>243</v>
      </c>
      <c r="J122" s="460"/>
      <c r="K122" s="474">
        <f>G72</f>
        <v>0.03</v>
      </c>
      <c r="L122" s="475">
        <f>IFERROR(($L$62/(1+L119)^0.5+$M$62/(1+L119)^1.5+$N$62/(1+L119)^2.5+$O$62/(1+L119)^3.5+$P$62/(1+L119)^4.5+($P$47*(1+$K$122)/(L119-$K$122))/(1+L119)^4.5-(Model!$K$366+Model!$K$373)+Model!$K$342+Model!$K$357)/Assumptions!$Q$28,"N/A")</f>
        <v>515.57978373813864</v>
      </c>
      <c r="M122" s="475">
        <f>IFERROR(($L$62/(1+M119)^0.5+$M$62/(1+M119)^1.5+$N$62/(1+M119)^2.5+$O$62/(1+M119)^3.5+$P$62/(1+M119)^4.5+($P$47*(1+$K$122)/(M119-$K$122))/(1+M119)^4.5-(Model!$K$366+Model!$K$373)+Model!$K$342+Model!$K$357)/Assumptions!$Q$28,"N/A")</f>
        <v>443.99384927614676</v>
      </c>
      <c r="N122" s="429">
        <f>IFERROR(($L$62/(1+N119)^0.5+$M$62/(1+N119)^1.5+$N$62/(1+N119)^2.5+$O$62/(1+N119)^3.5+$P$62/(1+N119)^4.5+($P$47*(1+$K$122)/(N119-$K$122))/(1+N119)^4.5-(Model!$K$366+Model!$K$373)+Model!$K$342+Model!$K$357)/Assumptions!$Q$28,"N/A")</f>
        <v>390.37037620982898</v>
      </c>
      <c r="O122" s="475">
        <f>IFERROR(($L$62/(1+O119)^0.5+$M$62/(1+O119)^1.5+$N$62/(1+O119)^2.5+$O$62/(1+O119)^3.5+$P$62/(1+O119)^4.5+($P$47*(1+$K$122)/(O119-$K$122))/(1+O119)^4.5-(Model!$K$366+Model!$K$373)+Model!$K$342+Model!$K$357)/Assumptions!$Q$28,"N/A")</f>
        <v>348.7193264705848</v>
      </c>
      <c r="P122" s="475">
        <f>IFERROR(($L$62/(1+P119)^0.5+$M$62/(1+P119)^1.5+$N$62/(1+P119)^2.5+$O$62/(1+P119)^3.5+$P$62/(1+P119)^4.5+($P$47*(1+$K$122)/(P119-$K$122))/(1+P119)^4.5-(Model!$K$366+Model!$K$373)+Model!$K$342+Model!$K$357)/Assumptions!$Q$28,"N/A")</f>
        <v>315.44679743869835</v>
      </c>
    </row>
    <row r="123" spans="2:16" x14ac:dyDescent="0.3">
      <c r="B123" s="453"/>
      <c r="C123" s="459"/>
      <c r="D123" s="453"/>
      <c r="E123" s="453"/>
      <c r="F123" s="457"/>
      <c r="G123" s="292"/>
      <c r="H123" s="292"/>
      <c r="I123" s="467"/>
      <c r="J123" s="460"/>
      <c r="K123" s="474">
        <f>K122+G120</f>
        <v>0.04</v>
      </c>
      <c r="L123" s="475">
        <f>IFERROR(($L$62/(1+L119)^0.5+$M$62/(1+L119)^1.5+$N$62/(1+L119)^2.5+$O$62/(1+L119)^3.5+$P$62/(1+L119)^4.5+($P$47*(1+$K$123)/(L119-$K$123))/(1+L119)^4.5-(Model!$K$366+Model!$K$373)+Model!$K$342+Model!$K$357)/Assumptions!$Q$28,"N/A")</f>
        <v>598.12677830575944</v>
      </c>
      <c r="M123" s="475">
        <f>IFERROR(($L$62/(1+M119)^0.5+$M$62/(1+M119)^1.5+$N$62/(1+M119)^2.5+$O$62/(1+M119)^3.5+$P$62/(1+M119)^4.5+($P$47*(1+$K$123)/(M119-$K$123))/(1+M119)^4.5-(Model!$K$366+Model!$K$373)+Model!$K$342+Model!$K$357)/Assumptions!$Q$28,"N/A")</f>
        <v>501.10114235574929</v>
      </c>
      <c r="N123" s="475">
        <f>IFERROR(($L$62/(1+N119)^0.5+$M$62/(1+N119)^1.5+$N$62/(1+N119)^2.5+$O$62/(1+N119)^3.5+$P$62/(1+N119)^4.5+($P$47*(1+$K$123)/(N119-$K$123))/(1+N119)^4.5-(Model!$K$366+Model!$K$373)+Model!$K$342+Model!$K$357)/Assumptions!$Q$28,"N/A")</f>
        <v>431.86547573033283</v>
      </c>
      <c r="O123" s="475">
        <f>IFERROR(($L$62/(1+O119)^0.5+$M$62/(1+O119)^1.5+$N$62/(1+O119)^2.5+$O$62/(1+O119)^3.5+$P$62/(1+O119)^4.5+($P$47*(1+$K$123)/(O119-$K$123))/(1+O119)^4.5-(Model!$K$366+Model!$K$373)+Model!$K$342+Model!$K$357)/Assumptions!$Q$28,"N/A")</f>
        <v>379.99593738872318</v>
      </c>
      <c r="P123" s="475">
        <f>IFERROR(($L$62/(1+P119)^0.5+$M$62/(1+P119)^1.5+$N$62/(1+P119)^2.5+$O$62/(1+P119)^3.5+$P$62/(1+P119)^4.5+($P$47*(1+$K$123)/(P119-$K$123))/(1+P119)^4.5-(Model!$K$366+Model!$K$373)+Model!$K$342+Model!$K$357)/Assumptions!$Q$28,"N/A")</f>
        <v>339.70162557392223</v>
      </c>
    </row>
    <row r="124" spans="2:16" x14ac:dyDescent="0.3">
      <c r="B124" s="453"/>
      <c r="C124" s="453"/>
      <c r="D124" s="453"/>
      <c r="E124" s="453"/>
      <c r="F124" s="457"/>
      <c r="G124" s="301"/>
      <c r="H124" s="301"/>
      <c r="I124" s="467"/>
      <c r="J124" s="460"/>
      <c r="K124" s="474">
        <f>K123+G120</f>
        <v>0.05</v>
      </c>
      <c r="L124" s="475">
        <f>IFERROR(($L$62/(1+L119)^0.5+$M$62/(1+L119)^1.5+$N$62/(1+L119)^2.5+$O$62/(1+L119)^3.5+$P$62/(1+L119)^4.5+($P$47*(1+$K$124)/(L119-$K$124))/(1+L119)^4.5-(Model!$K$366+Model!$K$373)+Model!$K$342+Model!$K$357)/Assumptions!$Q$28,"N/A")</f>
        <v>721.94727015719036</v>
      </c>
      <c r="M124" s="475">
        <f>IFERROR(($L$62/(1+M119)^0.5+$M$62/(1+M119)^1.5+$N$62/(1+M119)^2.5+$O$62/(1+M119)^3.5+$P$62/(1+M119)^4.5+($P$47*(1+$K$124)/(M119-$K$124))/(1+M119)^4.5-(Model!$K$366+Model!$K$373)+Model!$K$342+Model!$K$357)/Assumptions!$Q$28,"N/A")</f>
        <v>581.05135266719276</v>
      </c>
      <c r="N124" s="475">
        <f>IFERROR(($L$62/(1+N119)^0.5+$M$62/(1+N119)^1.5+$N$62/(1+N119)^2.5+$O$62/(1+N119)^3.5+$P$62/(1+N119)^4.5+($P$47*(1+$K$124)/(N119-$K$124))/(1+N119)^4.5-(Model!$K$366+Model!$K$373)+Model!$K$342+Model!$K$357)/Assumptions!$Q$28,"N/A")</f>
        <v>487.1922750910046</v>
      </c>
      <c r="O124" s="475">
        <f>IFERROR(($L$62/(1+O119)^0.5+$M$62/(1+O119)^1.5+$N$62/(1+O119)^2.5+$O$62/(1+O119)^3.5+$P$62/(1+O119)^4.5+($P$47*(1+$K$124)/(O119-$K$124))/(1+O119)^4.5-(Model!$K$366+Model!$K$373)+Model!$K$342+Model!$K$357)/Assumptions!$Q$28,"N/A")</f>
        <v>420.20872285490088</v>
      </c>
      <c r="P124" s="475">
        <f>IFERROR(($L$62/(1+P119)^0.5+$M$62/(1+P119)^1.5+$N$62/(1+P119)^2.5+$O$62/(1+P119)^3.5+$P$62/(1+P119)^4.5+($P$47*(1+$K$124)/(P119-$K$124))/(1+P119)^4.5-(Model!$K$366+Model!$K$373)+Model!$K$342+Model!$K$357)/Assumptions!$Q$28,"N/A")</f>
        <v>370.02016074295193</v>
      </c>
    </row>
    <row r="125" spans="2:16" x14ac:dyDescent="0.3">
      <c r="B125" s="453"/>
      <c r="C125" s="459"/>
      <c r="D125" s="453"/>
      <c r="E125" s="453"/>
      <c r="F125" s="457"/>
      <c r="G125" s="292"/>
      <c r="H125" s="292"/>
      <c r="I125" s="467"/>
      <c r="J125" s="460"/>
      <c r="K125" s="460"/>
      <c r="L125" s="403"/>
      <c r="M125" s="403"/>
      <c r="N125" s="403"/>
      <c r="O125" s="403"/>
      <c r="P125" s="403"/>
    </row>
    <row r="126" spans="2:16" x14ac:dyDescent="0.3">
      <c r="B126" s="453"/>
      <c r="C126" s="453"/>
      <c r="D126" s="453"/>
      <c r="E126" s="453"/>
      <c r="F126" s="457"/>
      <c r="G126" s="301"/>
      <c r="H126" s="301"/>
      <c r="I126" s="467"/>
      <c r="J126" s="460"/>
      <c r="K126" s="460"/>
      <c r="L126" s="403"/>
      <c r="M126" s="403"/>
      <c r="N126" s="403"/>
      <c r="O126" s="403"/>
      <c r="P126" s="403"/>
    </row>
    <row r="127" spans="2:16" x14ac:dyDescent="0.3">
      <c r="B127" s="453"/>
      <c r="C127" s="453"/>
      <c r="D127" s="453"/>
      <c r="E127" s="453"/>
      <c r="F127" s="457"/>
      <c r="G127" s="301"/>
      <c r="H127" s="301"/>
      <c r="I127" s="467"/>
      <c r="J127" s="460"/>
      <c r="L127" s="458"/>
      <c r="M127" s="458"/>
      <c r="N127" s="465" t="s">
        <v>257</v>
      </c>
      <c r="O127" s="283"/>
      <c r="P127" s="283"/>
    </row>
    <row r="128" spans="2:16" x14ac:dyDescent="0.3">
      <c r="B128" s="453"/>
      <c r="C128" s="453"/>
      <c r="D128" s="453"/>
      <c r="E128" s="453"/>
      <c r="F128" s="457"/>
      <c r="G128" s="301"/>
      <c r="H128" s="301"/>
      <c r="I128" s="467"/>
      <c r="J128" s="460"/>
      <c r="K128" s="469"/>
      <c r="L128" s="470">
        <f>L119</f>
        <v>9.0000000000000011E-2</v>
      </c>
      <c r="M128" s="470">
        <f t="shared" ref="M128:P128" si="11">M119</f>
        <v>0.1</v>
      </c>
      <c r="N128" s="470">
        <f t="shared" si="11"/>
        <v>0.11</v>
      </c>
      <c r="O128" s="470">
        <f t="shared" si="11"/>
        <v>0.12</v>
      </c>
      <c r="P128" s="470">
        <f t="shared" si="11"/>
        <v>0.13</v>
      </c>
    </row>
    <row r="129" spans="2:16" x14ac:dyDescent="0.3">
      <c r="B129" s="453"/>
      <c r="C129" s="453"/>
      <c r="D129" s="453"/>
      <c r="E129" s="453"/>
      <c r="F129" s="457"/>
      <c r="G129" s="301"/>
      <c r="H129" s="301"/>
      <c r="I129" s="467"/>
      <c r="J129" s="460"/>
      <c r="K129" s="471">
        <f>K130-G121</f>
        <v>20</v>
      </c>
      <c r="L129" s="476">
        <f>(($L$62/(1+L128)^0.5+$M$62/(1+L128)^1.5+$N$62/(1+L128)^2.5+$O$62/(1+L128)^3.5+$P$62/(1+L128)^4.5+($K$129*Model!$P$286)/(1+L128)^4.5-(Model!$K$366+Model!$K$373)+Model!$K$342+Model!$K$357)/Assumptions!$Q$28)</f>
        <v>868.87554621152447</v>
      </c>
      <c r="M129" s="476">
        <f>(($L$62/(1+M128)^0.5+$M$62/(1+M128)^1.5+$N$62/(1+M128)^2.5+$O$62/(1+M128)^3.5+$P$62/(1+M128)^4.5+($K$129*Model!$P$286)/(1+M128)^4.5-(Model!$K$366+Model!$K$373)+Model!$K$342+Model!$K$357)/Assumptions!$Q$28)</f>
        <v>836.53799412821934</v>
      </c>
      <c r="N129" s="476">
        <f>(($L$62/(1+N128)^0.5+$M$62/(1+N128)^1.5+$N$62/(1+N128)^2.5+$O$62/(1+N128)^3.5+$P$62/(1+N128)^4.5+($K$129*Model!$P$286)/(1+N128)^4.5-(Model!$K$366+Model!$K$373)+Model!$K$342+Model!$K$357)/Assumptions!$Q$28)</f>
        <v>805.75404935447659</v>
      </c>
      <c r="O129" s="476">
        <f>(($L$62/(1+O128)^0.5+$M$62/(1+O128)^1.5+$N$62/(1+O128)^2.5+$O$62/(1+O128)^3.5+$P$62/(1+O128)^4.5+($K$129*Model!$P$286)/(1+O128)^4.5-(Model!$K$366+Model!$K$373)+Model!$K$342+Model!$K$357)/Assumptions!$Q$28)</f>
        <v>776.43562885986341</v>
      </c>
      <c r="P129" s="476">
        <f>(($L$62/(1+P128)^0.5+$M$62/(1+P128)^1.5+$N$62/(1+P128)^2.5+$O$62/(1+P128)^3.5+$P$62/(1+P128)^4.5+($K$129*Model!$P$286)/(1+P128)^4.5-(Model!$K$366+Model!$K$373)+Model!$K$342+Model!$K$357)/Assumptions!$Q$28)</f>
        <v>748.50037866132675</v>
      </c>
    </row>
    <row r="130" spans="2:16" x14ac:dyDescent="0.3">
      <c r="B130" s="453"/>
      <c r="C130" s="453"/>
      <c r="D130" s="453"/>
      <c r="E130" s="453"/>
      <c r="F130" s="457"/>
      <c r="G130" s="301"/>
      <c r="H130" s="301"/>
      <c r="I130" s="467"/>
      <c r="J130" s="460"/>
      <c r="K130" s="472">
        <f>K131-G121</f>
        <v>25</v>
      </c>
      <c r="L130" s="476">
        <f>(($L$62/(1+L128)^0.5+$M$62/(1+L128)^1.5+$N$62/(1+L128)^2.5+$O$62/(1+L128)^3.5+$P$62/(1+L128)^4.5+($K$130*Model!$P$286)/(1+L128)^4.5-(Model!$K$366+Model!$K$373)+Model!$K$342+Model!$K$357)/Assumptions!$Q$28)</f>
        <v>1054.7033909636432</v>
      </c>
      <c r="M130" s="476">
        <f>(($L$62/(1+M128)^0.5+$M$62/(1+M128)^1.5+$N$62/(1+M128)^2.5+$O$62/(1+M128)^3.5+$P$62/(1+M128)^4.5+($K$130*Model!$P$286)/(1+M128)^4.5-(Model!$K$366+Model!$K$373)+Model!$K$342+Model!$K$357)/Assumptions!$Q$28)</f>
        <v>1014.8838192575884</v>
      </c>
      <c r="N130" s="476">
        <f>(($L$62/(1+N128)^0.5+$M$62/(1+N128)^1.5+$N$62/(1+N128)^2.5+$O$62/(1+N128)^3.5+$P$62/(1+N128)^4.5+($K$130*Model!$P$286)/(1+N128)^4.5-(Model!$K$366+Model!$K$373)+Model!$K$342+Model!$K$357)/Assumptions!$Q$28)</f>
        <v>976.98277564578098</v>
      </c>
      <c r="O130" s="476">
        <f>(($L$62/(1+O128)^0.5+$M$62/(1+O128)^1.5+$N$62/(1+O128)^2.5+$O$62/(1+O128)^3.5+$P$62/(1+O128)^4.5+($K$130*Model!$P$286)/(1+O128)^4.5-(Model!$K$366+Model!$K$373)+Model!$K$342+Model!$K$357)/Assumptions!$Q$28)</f>
        <v>940.89132811018715</v>
      </c>
      <c r="P130" s="476">
        <f>(($L$62/(1+P128)^0.5+$M$62/(1+P128)^1.5+$N$62/(1+P128)^2.5+$O$62/(1+P128)^3.5+$P$62/(1+P128)^4.5+($K$130*Model!$P$286)/(1+P128)^4.5-(Model!$K$366+Model!$K$373)+Model!$K$342+Model!$K$357)/Assumptions!$Q$28)</f>
        <v>906.50763609386991</v>
      </c>
    </row>
    <row r="131" spans="2:16" x14ac:dyDescent="0.3">
      <c r="B131" s="453"/>
      <c r="C131" s="453"/>
      <c r="D131" s="453"/>
      <c r="E131" s="453"/>
      <c r="F131" s="457"/>
      <c r="G131" s="301"/>
      <c r="H131" s="301"/>
      <c r="I131" s="467" t="s">
        <v>278</v>
      </c>
      <c r="J131" s="468"/>
      <c r="K131" s="472">
        <f>G78</f>
        <v>30</v>
      </c>
      <c r="L131" s="475">
        <f>(($L$62/(1+L128)^0.5+$M$62/(1+L128)^1.5+$N$62/(1+L128)^2.5+$O$62/(1+L128)^3.5+$P$62/(1+L128)^4.5+($K$131*Model!$P$286)/(1+L128)^4.5-(Model!$K$366+Model!$K$373)+Model!$K$342+Model!$K$357)/Assumptions!$Q$28)</f>
        <v>1240.5312357157616</v>
      </c>
      <c r="M131" s="475">
        <f>(($L$62/(1+M128)^0.5+$M$62/(1+M128)^1.5+$N$62/(1+M128)^2.5+$O$62/(1+M128)^3.5+$P$62/(1+M128)^4.5+($K$131*Model!$P$286)/(1+M128)^4.5-(Model!$K$366+Model!$K$373)+Model!$K$342+Model!$K$357)/Assumptions!$Q$28)</f>
        <v>1193.229644386957</v>
      </c>
      <c r="N131" s="429">
        <f>(($L$62/(1+N128)^0.5+$M$62/(1+N128)^1.5+$N$62/(1+N128)^2.5+$O$62/(1+N128)^3.5+$P$62/(1+N128)^4.5+($K$131*Model!$P$286)/(1+N128)^4.5-(Model!$K$366+Model!$K$373)+Model!$K$342+Model!$K$357)/Assumptions!$Q$28)</f>
        <v>1148.2115019370851</v>
      </c>
      <c r="O131" s="475">
        <f>(($L$62/(1+O128)^0.5+$M$62/(1+O128)^1.5+$N$62/(1+O128)^2.5+$O$62/(1+O128)^3.5+$P$62/(1+O128)^4.5+($K$131*Model!$P$286)/(1+O128)^4.5-(Model!$K$366+Model!$K$373)+Model!$K$342+Model!$K$357)/Assumptions!$Q$28)</f>
        <v>1105.347027360511</v>
      </c>
      <c r="P131" s="475">
        <f>(($L$62/(1+P128)^0.5+$M$62/(1+P128)^1.5+$N$62/(1+P128)^2.5+$O$62/(1+P128)^3.5+$P$62/(1+P128)^4.5+($K$131*Model!$P$286)/(1+P128)^4.5-(Model!$K$366+Model!$K$373)+Model!$K$342+Model!$K$357)/Assumptions!$Q$28)</f>
        <v>1064.5148935264128</v>
      </c>
    </row>
    <row r="132" spans="2:16" x14ac:dyDescent="0.3">
      <c r="B132" s="453"/>
      <c r="C132" s="453"/>
      <c r="D132" s="453"/>
      <c r="E132" s="453"/>
      <c r="F132" s="457"/>
      <c r="G132" s="301"/>
      <c r="H132" s="301"/>
      <c r="I132" s="460"/>
      <c r="J132" s="460"/>
      <c r="K132" s="472">
        <f>K131+G121</f>
        <v>35</v>
      </c>
      <c r="L132" s="475">
        <f>(($L$62/(1+L128)^0.5+$M$62/(1+L128)^1.5+$N$62/(1+L128)^2.5+$O$62/(1+L128)^3.5+$P$62/(1+L128)^4.5+($K$132*Model!$P$286)/(1+L128)^4.5-(Model!$K$366+Model!$K$373)+Model!$K$342+Model!$K$357)/Assumptions!$Q$28)</f>
        <v>1426.3590804678797</v>
      </c>
      <c r="M132" s="475">
        <f>(($L$62/(1+M128)^0.5+$M$62/(1+M128)^1.5+$N$62/(1+M128)^2.5+$O$62/(1+M128)^3.5+$P$62/(1+M128)^4.5+($K$132*Model!$P$286)/(1+M128)^4.5-(Model!$K$366+Model!$K$373)+Model!$K$342+Model!$K$357)/Assumptions!$Q$28)</f>
        <v>1371.5754695163257</v>
      </c>
      <c r="N132" s="475">
        <f>(($L$62/(1+N128)^0.5+$M$62/(1+N128)^1.5+$N$62/(1+N128)^2.5+$O$62/(1+N128)^3.5+$P$62/(1+N128)^4.5+($K$132*Model!$P$286)/(1+N128)^4.5-(Model!$K$366+Model!$K$373)+Model!$K$342+Model!$K$357)/Assumptions!$Q$28)</f>
        <v>1319.4402282283897</v>
      </c>
      <c r="O132" s="475">
        <f>(($L$62/(1+O128)^0.5+$M$62/(1+O128)^1.5+$N$62/(1+O128)^2.5+$O$62/(1+O128)^3.5+$P$62/(1+O128)^4.5+($K$132*Model!$P$286)/(1+O128)^4.5-(Model!$K$366+Model!$K$373)+Model!$K$342+Model!$K$357)/Assumptions!$Q$28)</f>
        <v>1269.8027266108347</v>
      </c>
      <c r="P132" s="475">
        <f>(($L$62/(1+P128)^0.5+$M$62/(1+P128)^1.5+$N$62/(1+P128)^2.5+$O$62/(1+P128)^3.5+$P$62/(1+P128)^4.5+($K$132*Model!$P$286)/(1+P128)^4.5-(Model!$K$366+Model!$K$373)+Model!$K$342+Model!$K$357)/Assumptions!$Q$28)</f>
        <v>1222.522150958956</v>
      </c>
    </row>
    <row r="133" spans="2:16" x14ac:dyDescent="0.3">
      <c r="B133" s="452"/>
      <c r="C133" s="453"/>
      <c r="D133" s="453"/>
      <c r="E133" s="453"/>
      <c r="F133" s="457"/>
      <c r="G133" s="448"/>
      <c r="H133" s="448"/>
      <c r="I133" s="406"/>
      <c r="J133" s="406"/>
      <c r="K133" s="472">
        <f>K132+G121</f>
        <v>40</v>
      </c>
      <c r="L133" s="475">
        <f>(($L$62/(1+L128)^0.5+$M$62/(1+L128)^1.5+$N$62/(1+L128)^2.5+$O$62/(1+L128)^3.5+$P$62/(1+L128)^4.5+($K$133*Model!$P$286)/(1+L128)^4.5-(Model!$K$366+Model!$K$373)+Model!$K$342+Model!$K$357)/Assumptions!$Q$28)</f>
        <v>1612.1869252199979</v>
      </c>
      <c r="M133" s="475">
        <f>(($L$62/(1+M128)^0.5+$M$62/(1+M128)^1.5+$N$62/(1+M128)^2.5+$O$62/(1+M128)^3.5+$P$62/(1+M128)^4.5+($K$133*Model!$P$286)/(1+M128)^4.5-(Model!$K$366+Model!$K$373)+Model!$K$342+Model!$K$357)/Assumptions!$Q$28)</f>
        <v>1549.9212946456946</v>
      </c>
      <c r="N133" s="475">
        <f>(($L$62/(1+N128)^0.5+$M$62/(1+N128)^1.5+$N$62/(1+N128)^2.5+$O$62/(1+N128)^3.5+$P$62/(1+N128)^4.5+($K$133*Model!$P$286)/(1+N128)^4.5-(Model!$K$366+Model!$K$373)+Model!$K$342+Model!$K$357)/Assumptions!$Q$28)</f>
        <v>1490.6689545196939</v>
      </c>
      <c r="O133" s="475">
        <f>(($L$62/(1+O128)^0.5+$M$62/(1+O128)^1.5+$N$62/(1+O128)^2.5+$O$62/(1+O128)^3.5+$P$62/(1+O128)^4.5+($K$133*Model!$P$286)/(1+O128)^4.5-(Model!$K$366+Model!$K$373)+Model!$K$342+Model!$K$357)/Assumptions!$Q$28)</f>
        <v>1434.2584258611585</v>
      </c>
      <c r="P133" s="475">
        <f>(($L$62/(1+P128)^0.5+$M$62/(1+P128)^1.5+$N$62/(1+P128)^2.5+$O$62/(1+P128)^3.5+$P$62/(1+P128)^4.5+($K$133*Model!$P$286)/(1+P128)^4.5-(Model!$K$366+Model!$K$373)+Model!$K$342+Model!$K$357)/Assumptions!$Q$28)</f>
        <v>1380.5294083914989</v>
      </c>
    </row>
    <row r="134" spans="2:16" x14ac:dyDescent="0.3">
      <c r="B134" s="459"/>
      <c r="C134" s="453"/>
      <c r="D134" s="453"/>
      <c r="E134" s="453"/>
      <c r="F134" s="457"/>
      <c r="G134" s="399"/>
      <c r="H134" s="399"/>
      <c r="I134" s="399"/>
      <c r="J134" s="399"/>
      <c r="K134" s="399"/>
      <c r="L134" s="307"/>
      <c r="M134" s="307"/>
      <c r="N134" s="307"/>
      <c r="O134" s="307"/>
      <c r="P134" s="307"/>
    </row>
    <row r="135" spans="2:16" x14ac:dyDescent="0.3">
      <c r="B135" s="459"/>
      <c r="C135" s="453"/>
      <c r="D135" s="453"/>
      <c r="E135" s="453"/>
      <c r="F135" s="457"/>
      <c r="G135" s="399"/>
      <c r="H135" s="399"/>
      <c r="I135" s="399"/>
      <c r="J135" s="399"/>
      <c r="K135" s="399"/>
      <c r="L135" s="307"/>
      <c r="M135" s="307"/>
      <c r="N135" s="307"/>
      <c r="O135" s="307"/>
      <c r="P135" s="307"/>
    </row>
    <row r="136" spans="2:16" x14ac:dyDescent="0.3">
      <c r="B136" s="462"/>
      <c r="C136" s="463"/>
      <c r="D136" s="463"/>
      <c r="E136" s="463"/>
      <c r="F136" s="464"/>
      <c r="G136" s="425"/>
      <c r="H136" s="425"/>
      <c r="I136" s="425"/>
      <c r="J136" s="425"/>
      <c r="K136" s="425"/>
      <c r="L136" s="288"/>
      <c r="M136" s="288"/>
      <c r="N136" s="288"/>
      <c r="O136" s="288"/>
      <c r="P136" s="288"/>
    </row>
  </sheetData>
  <mergeCells count="1">
    <mergeCell ref="L66:P66"/>
  </mergeCells>
  <pageMargins left="0.7" right="0.7" top="0.75" bottom="0.75" header="0.3" footer="0.3"/>
  <pageSetup paperSize="9" orientation="portrait" r:id="rId1"/>
  <ignoredErrors>
    <ignoredError sqref="H100 H10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Assumptions</vt:lpstr>
      <vt:lpstr>Scenarios</vt:lpstr>
      <vt:lpstr>Model</vt:lpstr>
      <vt:lpstr>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2026-02-15T16:04:32Z</dcterms:created>
  <dcterms:modified xsi:type="dcterms:W3CDTF">2026-03-27T22:27:22Z</dcterms:modified>
</cp:coreProperties>
</file>