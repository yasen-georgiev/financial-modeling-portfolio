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Folders\Job Application\"/>
    </mc:Choice>
  </mc:AlternateContent>
  <xr:revisionPtr revIDLastSave="0" documentId="13_ncr:1_{7398D3C7-F175-497A-B881-D945FCDD0B16}" xr6:coauthVersionLast="36" xr6:coauthVersionMax="36" xr10:uidLastSave="{00000000-0000-0000-0000-000000000000}"/>
  <bookViews>
    <workbookView xWindow="0" yWindow="0" windowWidth="23040" windowHeight="8364" xr2:uid="{DEFB8350-6F8A-4703-96BD-193C79891CE3}"/>
  </bookViews>
  <sheets>
    <sheet name="Valuatio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6" i="1" l="1"/>
  <c r="M38" i="1"/>
  <c r="N38" i="1"/>
  <c r="O38" i="1"/>
  <c r="P38" i="1"/>
  <c r="L38" i="1"/>
  <c r="J38" i="1"/>
  <c r="K38" i="1"/>
  <c r="I38" i="1"/>
  <c r="M130" i="1" l="1"/>
  <c r="N130" i="1"/>
  <c r="O130" i="1"/>
  <c r="P130" i="1"/>
  <c r="M129" i="1"/>
  <c r="N129" i="1"/>
  <c r="O129" i="1"/>
  <c r="P129" i="1"/>
  <c r="M128" i="1"/>
  <c r="N128" i="1"/>
  <c r="O128" i="1"/>
  <c r="P128" i="1"/>
  <c r="M127" i="1"/>
  <c r="N127" i="1"/>
  <c r="O127" i="1"/>
  <c r="P127" i="1"/>
  <c r="M126" i="1"/>
  <c r="N126" i="1"/>
  <c r="O126" i="1"/>
  <c r="P126" i="1"/>
  <c r="L127" i="1"/>
  <c r="L128" i="1"/>
  <c r="L129" i="1"/>
  <c r="L130" i="1"/>
  <c r="L126" i="1"/>
  <c r="M121" i="1"/>
  <c r="N121" i="1"/>
  <c r="O121" i="1"/>
  <c r="P121" i="1"/>
  <c r="M120" i="1"/>
  <c r="N120" i="1"/>
  <c r="O120" i="1"/>
  <c r="P120" i="1"/>
  <c r="L120" i="1"/>
  <c r="L121" i="1"/>
  <c r="M119" i="1"/>
  <c r="N119" i="1"/>
  <c r="O119" i="1"/>
  <c r="P119" i="1"/>
  <c r="L119" i="1"/>
  <c r="M118" i="1"/>
  <c r="N118" i="1"/>
  <c r="O118" i="1"/>
  <c r="P118" i="1"/>
  <c r="L118" i="1"/>
  <c r="M117" i="1"/>
  <c r="N117" i="1"/>
  <c r="O117" i="1"/>
  <c r="P117" i="1"/>
  <c r="L117" i="1"/>
  <c r="N116" i="1"/>
  <c r="B108" i="1"/>
  <c r="K128" i="1"/>
  <c r="K127" i="1" s="1"/>
  <c r="K126" i="1" s="1"/>
  <c r="K119" i="1"/>
  <c r="K120" i="1" s="1"/>
  <c r="K121" i="1" s="1"/>
  <c r="O116" i="1"/>
  <c r="G100" i="1"/>
  <c r="G98" i="1"/>
  <c r="H98" i="1" s="1"/>
  <c r="G96" i="1"/>
  <c r="H96" i="1" s="1"/>
  <c r="G95" i="1"/>
  <c r="G94" i="1"/>
  <c r="H94" i="1"/>
  <c r="O44" i="1"/>
  <c r="B85" i="1"/>
  <c r="H100" i="1"/>
  <c r="H95" i="1"/>
  <c r="G92" i="1"/>
  <c r="G75" i="1"/>
  <c r="G72" i="1"/>
  <c r="G71" i="1"/>
  <c r="G70" i="1"/>
  <c r="G69" i="1"/>
  <c r="M62" i="1"/>
  <c r="N62" i="1"/>
  <c r="P62" i="1"/>
  <c r="M61" i="1"/>
  <c r="N61" i="1"/>
  <c r="O61" i="1"/>
  <c r="P61" i="1"/>
  <c r="L61" i="1"/>
  <c r="M60" i="1"/>
  <c r="N60" i="1"/>
  <c r="O60" i="1"/>
  <c r="P60" i="1"/>
  <c r="L60" i="1"/>
  <c r="M59" i="1"/>
  <c r="N59" i="1"/>
  <c r="P59" i="1"/>
  <c r="L57" i="1"/>
  <c r="M57" i="1" s="1"/>
  <c r="B52" i="1"/>
  <c r="O125" i="1" l="1"/>
  <c r="P116" i="1"/>
  <c r="K129" i="1"/>
  <c r="K130" i="1" s="1"/>
  <c r="M116" i="1"/>
  <c r="K118" i="1"/>
  <c r="K117" i="1" s="1"/>
  <c r="N125" i="1"/>
  <c r="G77" i="1"/>
  <c r="G78" i="1" s="1"/>
  <c r="H92" i="1" s="1"/>
  <c r="N57" i="1"/>
  <c r="K57" i="1"/>
  <c r="J57" i="1" s="1"/>
  <c r="I57" i="1" s="1"/>
  <c r="H57" i="1" s="1"/>
  <c r="G57" i="1" s="1"/>
  <c r="M125" i="1" l="1"/>
  <c r="L116" i="1"/>
  <c r="P125" i="1"/>
  <c r="O57" i="1"/>
  <c r="L125" i="1" l="1"/>
  <c r="P57" i="1"/>
  <c r="M45" i="1" l="1"/>
  <c r="N45" i="1"/>
  <c r="O45" i="1"/>
  <c r="O59" i="1" s="1"/>
  <c r="O62" i="1" s="1"/>
  <c r="P45" i="1"/>
  <c r="M44" i="1"/>
  <c r="N44" i="1"/>
  <c r="P44" i="1"/>
  <c r="L44" i="1"/>
  <c r="L45" i="1" s="1"/>
  <c r="L59" i="1" s="1"/>
  <c r="L62" i="1" s="1"/>
  <c r="M43" i="1"/>
  <c r="N43" i="1"/>
  <c r="O43" i="1"/>
  <c r="P43" i="1"/>
  <c r="L43" i="1"/>
  <c r="M42" i="1"/>
  <c r="N42" i="1"/>
  <c r="O42" i="1"/>
  <c r="P42" i="1"/>
  <c r="L42" i="1"/>
  <c r="M41" i="1"/>
  <c r="N41" i="1"/>
  <c r="O41" i="1"/>
  <c r="P41" i="1"/>
  <c r="L41" i="1"/>
  <c r="M40" i="1"/>
  <c r="N40" i="1"/>
  <c r="O40" i="1"/>
  <c r="P40" i="1"/>
  <c r="L40" i="1"/>
  <c r="M39" i="1"/>
  <c r="N39" i="1"/>
  <c r="O39" i="1"/>
  <c r="P39" i="1"/>
  <c r="L39" i="1"/>
  <c r="M37" i="1"/>
  <c r="N37" i="1"/>
  <c r="O37" i="1"/>
  <c r="P37" i="1"/>
  <c r="L37" i="1"/>
  <c r="M36" i="1"/>
  <c r="N36" i="1" s="1"/>
  <c r="O36" i="1" s="1"/>
  <c r="P36" i="1" s="1"/>
  <c r="L36" i="1"/>
  <c r="J39" i="1"/>
  <c r="K39" i="1"/>
  <c r="I39" i="1"/>
  <c r="N34" i="1"/>
  <c r="O34" i="1" s="1"/>
  <c r="P34" i="1" s="1"/>
  <c r="M34" i="1"/>
  <c r="K34" i="1"/>
  <c r="J34" i="1"/>
  <c r="I34" i="1"/>
  <c r="H34" i="1"/>
  <c r="G34" i="1"/>
  <c r="L63" i="1" l="1"/>
  <c r="G91" i="1" s="1"/>
  <c r="G93" i="1"/>
  <c r="G97" i="1" s="1"/>
  <c r="G99" i="1" s="1"/>
  <c r="G101" i="1" s="1"/>
  <c r="H91" i="1"/>
  <c r="H93" i="1" s="1"/>
  <c r="H97" i="1" s="1"/>
  <c r="H99" i="1" s="1"/>
  <c r="H101" i="1" s="1"/>
  <c r="M7" i="1"/>
  <c r="N7" i="1" s="1"/>
  <c r="O7" i="1" s="1"/>
  <c r="P7" i="1" s="1"/>
  <c r="K7" i="1"/>
  <c r="J7" i="1" s="1"/>
  <c r="I7" i="1" s="1"/>
  <c r="H7" i="1" s="1"/>
  <c r="G7" i="1" s="1"/>
</calcChain>
</file>

<file path=xl/sharedStrings.xml><?xml version="1.0" encoding="utf-8"?>
<sst xmlns="http://schemas.openxmlformats.org/spreadsheetml/2006/main" count="94" uniqueCount="55">
  <si>
    <t>Projected</t>
  </si>
  <si>
    <t>Tax Rate</t>
  </si>
  <si>
    <t>Depreciation &amp; Amortization</t>
  </si>
  <si>
    <t xml:space="preserve">CapEx </t>
  </si>
  <si>
    <t>FCFF</t>
  </si>
  <si>
    <t>NVIDIA CORPORATION - DCF VALUATION SNAPSHOT</t>
  </si>
  <si>
    <t>Key Assumptions</t>
  </si>
  <si>
    <t>Revenue Growth</t>
  </si>
  <si>
    <t>%</t>
  </si>
  <si>
    <t>EBIT Margin</t>
  </si>
  <si>
    <t>Changes in Working Capital</t>
  </si>
  <si>
    <t>WACC</t>
  </si>
  <si>
    <t>Terminal Growth Rate</t>
  </si>
  <si>
    <t>% of Revenue</t>
  </si>
  <si>
    <t>Revenue</t>
  </si>
  <si>
    <t>Operating Income</t>
  </si>
  <si>
    <t>NOPAT</t>
  </si>
  <si>
    <t>History and Projections</t>
  </si>
  <si>
    <t xml:space="preserve">NVIDIA CORPORATION </t>
  </si>
  <si>
    <t>DCF &amp; Terminal Value Schedule</t>
  </si>
  <si>
    <t xml:space="preserve">Discount Period </t>
  </si>
  <si>
    <t>Discount Factor</t>
  </si>
  <si>
    <t>PV of FCFF</t>
  </si>
  <si>
    <t xml:space="preserve">Sum of PV </t>
  </si>
  <si>
    <t>Terminal Value</t>
  </si>
  <si>
    <t>Method 1: Gordon Growth Model</t>
  </si>
  <si>
    <t xml:space="preserve">Terminal Growth Rate </t>
  </si>
  <si>
    <t>FCFF in Terminal Year</t>
  </si>
  <si>
    <t xml:space="preserve">Terminal Value </t>
  </si>
  <si>
    <t>PV of Terminal Value</t>
  </si>
  <si>
    <t>Method 2: Exit EV/EBITDA Multiple</t>
  </si>
  <si>
    <t>Exit EV/EBITDA Multiple</t>
  </si>
  <si>
    <t>EBITDA in Terminal Year</t>
  </si>
  <si>
    <t>Enterprise Value to Equity Value Bridge</t>
  </si>
  <si>
    <t>Gordon Growth</t>
  </si>
  <si>
    <t>Exit Multiple</t>
  </si>
  <si>
    <t>Sum of PV</t>
  </si>
  <si>
    <t>Enterprise Value</t>
  </si>
  <si>
    <t>Total Debt</t>
  </si>
  <si>
    <t xml:space="preserve">Cash </t>
  </si>
  <si>
    <t>Investment in Associates</t>
  </si>
  <si>
    <t>Equity Value</t>
  </si>
  <si>
    <t>Shares Outstanding</t>
  </si>
  <si>
    <t>Implied Share Price</t>
  </si>
  <si>
    <t>Current Share Price</t>
  </si>
  <si>
    <t>Upside / (Downside)</t>
  </si>
  <si>
    <t>Sensitivity Analysis</t>
  </si>
  <si>
    <t>Change WACC</t>
  </si>
  <si>
    <t>Change Terminal Growth Rate</t>
  </si>
  <si>
    <t>Change Exit Multiple</t>
  </si>
  <si>
    <t>($ Millions)</t>
  </si>
  <si>
    <t>$ MM</t>
  </si>
  <si>
    <t>MM</t>
  </si>
  <si>
    <t>EBITDA</t>
  </si>
  <si>
    <t>Yasen Georgiev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</si>
</sst>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\ _л_в_._-;\-* #,##0.00\ _л_в_._-;_-* &quot;-&quot;??\ _л_в_._-;_-@_-"/>
    <numFmt numFmtId="164" formatCode="#,##0.0_);\(#,##0.0\)"/>
    <numFmt numFmtId="165" formatCode="0\A"/>
    <numFmt numFmtId="166" formatCode="_(* #,##0_);_(* \(#,##0\);_(* &quot;-&quot;??_);_(@_)"/>
    <numFmt numFmtId="167" formatCode="0.0%"/>
    <numFmt numFmtId="168" formatCode="0.0%;\(0.0%\);&quot;-&quot;"/>
    <numFmt numFmtId="169" formatCode="#,##0_);\(#,##0\)"/>
    <numFmt numFmtId="170" formatCode="#,##0.00_);\(#,##0.00\)"/>
    <numFmt numFmtId="171" formatCode="_(* #,##0.0_);_(* \(#,##0.0\);_(* &quot;-&quot;??_);_(@_)"/>
    <numFmt numFmtId="172" formatCode="General&quot;x&quot;"/>
    <numFmt numFmtId="173" formatCode="0.0%;\(0.0%\)"/>
    <numFmt numFmtId="174" formatCode="0.0;\(0.0\);&quot;-&quot;"/>
    <numFmt numFmtId="175" formatCode="\$\ 0.00"/>
  </numFmts>
  <fonts count="4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8"/>
      <name val="Arial"/>
      <family val="2"/>
      <charset val="204"/>
    </font>
    <font>
      <sz val="11"/>
      <color theme="1"/>
      <name val="Arial"/>
      <family val="2"/>
      <charset val="204"/>
    </font>
    <font>
      <sz val="9"/>
      <color rgb="FF5B77CC"/>
      <name val="Arial"/>
      <family val="2"/>
      <charset val="204"/>
    </font>
    <font>
      <sz val="10"/>
      <color theme="1"/>
      <name val="Arial"/>
      <family val="2"/>
    </font>
    <font>
      <sz val="10"/>
      <name val="Arial"/>
      <family val="2"/>
    </font>
    <font>
      <b/>
      <sz val="14"/>
      <name val="Arial"/>
      <family val="2"/>
      <charset val="204"/>
    </font>
    <font>
      <b/>
      <i/>
      <sz val="14"/>
      <color indexed="10"/>
      <name val="Arial"/>
      <family val="2"/>
      <charset val="204"/>
    </font>
    <font>
      <b/>
      <i/>
      <sz val="9"/>
      <color rgb="FF5B77CC"/>
      <name val="Arial"/>
      <family val="2"/>
      <charset val="204"/>
    </font>
    <font>
      <b/>
      <i/>
      <sz val="10"/>
      <color indexed="10"/>
      <name val="Arial"/>
      <family val="2"/>
    </font>
    <font>
      <b/>
      <i/>
      <sz val="10"/>
      <name val="Arial"/>
      <family val="2"/>
    </font>
    <font>
      <b/>
      <sz val="10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</font>
    <font>
      <sz val="8"/>
      <color rgb="FF5B77CC"/>
      <name val="Arial"/>
      <family val="2"/>
      <charset val="204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indexed="9"/>
      <name val="Arial"/>
      <family val="2"/>
      <charset val="204"/>
    </font>
    <font>
      <sz val="10"/>
      <color indexed="9"/>
      <name val="Arial"/>
      <family val="2"/>
    </font>
    <font>
      <sz val="10"/>
      <color rgb="FF0000FF"/>
      <name val="Arial"/>
      <family val="2"/>
      <charset val="204"/>
    </font>
    <font>
      <sz val="10"/>
      <color rgb="FF0000FF"/>
      <name val="Arial"/>
      <family val="2"/>
    </font>
    <font>
      <sz val="10"/>
      <color rgb="FF009B73"/>
      <name val="Arial"/>
      <family val="2"/>
    </font>
    <font>
      <b/>
      <sz val="11"/>
      <color theme="1"/>
      <name val="Arial"/>
      <family val="2"/>
      <charset val="204"/>
    </font>
    <font>
      <b/>
      <i/>
      <sz val="10"/>
      <name val="Arial"/>
      <family val="2"/>
      <charset val="204"/>
    </font>
    <font>
      <sz val="11"/>
      <color rgb="FFFF0000"/>
      <name val="Arial"/>
      <family val="2"/>
      <charset val="204"/>
    </font>
    <font>
      <i/>
      <sz val="10"/>
      <color indexed="12"/>
      <name val="Arial"/>
      <family val="2"/>
      <charset val="204"/>
    </font>
    <font>
      <i/>
      <sz val="10"/>
      <name val="Arial"/>
      <family val="2"/>
      <charset val="204"/>
    </font>
    <font>
      <i/>
      <sz val="10"/>
      <name val="Arial"/>
      <family val="2"/>
    </font>
    <font>
      <b/>
      <sz val="8"/>
      <color rgb="FFFF0000"/>
      <name val="Arial"/>
      <family val="2"/>
      <charset val="204"/>
    </font>
    <font>
      <b/>
      <sz val="10"/>
      <color indexed="9"/>
      <name val="Arial"/>
      <family val="2"/>
      <charset val="204"/>
    </font>
    <font>
      <b/>
      <sz val="10"/>
      <color indexed="9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sz val="11"/>
      <name val="Arial"/>
      <family val="2"/>
      <charset val="204"/>
    </font>
    <font>
      <b/>
      <sz val="11"/>
      <name val="Arial"/>
      <family val="2"/>
      <charset val="204"/>
    </font>
    <font>
      <sz val="11"/>
      <color theme="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2">
    <xf numFmtId="0" fontId="0" fillId="0" borderId="0" xfId="0"/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Continuous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164" fontId="7" fillId="0" borderId="0" xfId="0" applyNumberFormat="1" applyFont="1" applyAlignment="1">
      <alignment horizontal="centerContinuous"/>
    </xf>
    <xf numFmtId="0" fontId="8" fillId="0" borderId="0" xfId="0" applyFont="1" applyAlignment="1">
      <alignment horizontal="centerContinuous"/>
    </xf>
    <xf numFmtId="0" fontId="9" fillId="0" borderId="0" xfId="0" applyFont="1" applyAlignment="1">
      <alignment horizontal="centerContinuous"/>
    </xf>
    <xf numFmtId="0" fontId="10" fillId="0" borderId="0" xfId="0" applyFont="1" applyAlignment="1">
      <alignment horizontal="centerContinuous"/>
    </xf>
    <xf numFmtId="0" fontId="11" fillId="0" borderId="0" xfId="0" applyFont="1" applyAlignment="1">
      <alignment horizontal="centerContinuous"/>
    </xf>
    <xf numFmtId="164" fontId="12" fillId="0" borderId="0" xfId="0" applyNumberFormat="1" applyFont="1" applyAlignment="1">
      <alignment horizontal="centerContinuous"/>
    </xf>
    <xf numFmtId="0" fontId="8" fillId="0" borderId="1" xfId="0" applyFont="1" applyBorder="1" applyAlignment="1">
      <alignment horizontal="centerContinuous"/>
    </xf>
    <xf numFmtId="0" fontId="9" fillId="0" borderId="1" xfId="0" applyFont="1" applyBorder="1" applyAlignment="1">
      <alignment horizontal="centerContinuous"/>
    </xf>
    <xf numFmtId="0" fontId="10" fillId="0" borderId="1" xfId="0" applyFont="1" applyBorder="1" applyAlignment="1">
      <alignment horizontal="centerContinuous"/>
    </xf>
    <xf numFmtId="0" fontId="11" fillId="0" borderId="1" xfId="0" applyFont="1" applyBorder="1" applyAlignment="1">
      <alignment horizontal="centerContinuous"/>
    </xf>
    <xf numFmtId="164" fontId="12" fillId="0" borderId="1" xfId="0" applyNumberFormat="1" applyFont="1" applyBorder="1" applyAlignment="1">
      <alignment horizontal="centerContinuous"/>
    </xf>
    <xf numFmtId="0" fontId="4" fillId="0" borderId="0" xfId="0" applyFont="1"/>
    <xf numFmtId="0" fontId="5" fillId="0" borderId="0" xfId="0" applyFont="1"/>
    <xf numFmtId="0" fontId="13" fillId="0" borderId="0" xfId="0" applyFont="1" applyAlignment="1">
      <alignment horizontal="centerContinuous"/>
    </xf>
    <xf numFmtId="0" fontId="6" fillId="0" borderId="0" xfId="0" applyFont="1"/>
    <xf numFmtId="164" fontId="12" fillId="0" borderId="2" xfId="0" applyNumberFormat="1" applyFont="1" applyBorder="1" applyAlignment="1">
      <alignment horizontal="centerContinuous"/>
    </xf>
    <xf numFmtId="164" fontId="7" fillId="0" borderId="2" xfId="0" applyNumberFormat="1" applyFont="1" applyBorder="1" applyAlignment="1">
      <alignment horizontal="centerContinuous"/>
    </xf>
    <xf numFmtId="165" fontId="13" fillId="0" borderId="0" xfId="0" applyNumberFormat="1" applyFont="1" applyBorder="1"/>
    <xf numFmtId="165" fontId="14" fillId="0" borderId="0" xfId="0" applyNumberFormat="1" applyFont="1"/>
    <xf numFmtId="165" fontId="13" fillId="0" borderId="0" xfId="0" quotePrefix="1" applyNumberFormat="1" applyFont="1" applyAlignment="1">
      <alignment horizontal="right"/>
    </xf>
    <xf numFmtId="165" fontId="15" fillId="0" borderId="0" xfId="0" quotePrefix="1" applyNumberFormat="1" applyFont="1" applyAlignment="1">
      <alignment horizontal="right"/>
    </xf>
    <xf numFmtId="0" fontId="15" fillId="0" borderId="0" xfId="0" applyNumberFormat="1" applyFont="1"/>
    <xf numFmtId="0" fontId="13" fillId="0" borderId="0" xfId="0" applyFont="1" applyAlignment="1">
      <alignment horizontal="left"/>
    </xf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164" fontId="7" fillId="2" borderId="0" xfId="0" applyNumberFormat="1" applyFont="1" applyFill="1"/>
    <xf numFmtId="166" fontId="21" fillId="0" borderId="0" xfId="1" applyNumberFormat="1" applyFont="1" applyFill="1" applyBorder="1" applyProtection="1"/>
    <xf numFmtId="166" fontId="22" fillId="0" borderId="0" xfId="1" applyNumberFormat="1" applyFont="1" applyFill="1" applyBorder="1" applyProtection="1"/>
    <xf numFmtId="0" fontId="24" fillId="0" borderId="0" xfId="0" applyFont="1"/>
    <xf numFmtId="168" fontId="23" fillId="3" borderId="0" xfId="1" applyNumberFormat="1" applyFont="1" applyFill="1" applyBorder="1" applyProtection="1"/>
    <xf numFmtId="168" fontId="23" fillId="2" borderId="0" xfId="1" applyNumberFormat="1" applyFont="1" applyFill="1" applyBorder="1" applyProtection="1"/>
    <xf numFmtId="0" fontId="2" fillId="0" borderId="0" xfId="0" applyFont="1"/>
    <xf numFmtId="0" fontId="4" fillId="2" borderId="4" xfId="0" applyFont="1" applyFill="1" applyBorder="1"/>
    <xf numFmtId="0" fontId="25" fillId="2" borderId="4" xfId="0" applyFont="1" applyFill="1" applyBorder="1" applyAlignment="1">
      <alignment horizontal="left"/>
    </xf>
    <xf numFmtId="0" fontId="26" fillId="2" borderId="4" xfId="0" applyFont="1" applyFill="1" applyBorder="1"/>
    <xf numFmtId="0" fontId="24" fillId="0" borderId="4" xfId="0" applyFont="1" applyBorder="1"/>
    <xf numFmtId="167" fontId="21" fillId="0" borderId="0" xfId="1" applyNumberFormat="1" applyFont="1" applyFill="1" applyBorder="1" applyProtection="1"/>
    <xf numFmtId="167" fontId="17" fillId="0" borderId="0" xfId="1" applyNumberFormat="1" applyFont="1" applyFill="1" applyBorder="1" applyProtection="1"/>
    <xf numFmtId="167" fontId="22" fillId="0" borderId="0" xfId="1" applyNumberFormat="1" applyFont="1" applyFill="1" applyBorder="1" applyProtection="1"/>
    <xf numFmtId="169" fontId="7" fillId="3" borderId="0" xfId="1" applyNumberFormat="1" applyFont="1" applyFill="1" applyBorder="1" applyProtection="1"/>
    <xf numFmtId="0" fontId="4" fillId="0" borderId="3" xfId="0" applyFont="1" applyBorder="1"/>
    <xf numFmtId="169" fontId="13" fillId="3" borderId="3" xfId="1" applyNumberFormat="1" applyFont="1" applyFill="1" applyBorder="1" applyProtection="1"/>
    <xf numFmtId="164" fontId="7" fillId="3" borderId="0" xfId="1" applyNumberFormat="1" applyFont="1" applyFill="1" applyBorder="1" applyProtection="1"/>
    <xf numFmtId="170" fontId="7" fillId="3" borderId="0" xfId="1" applyNumberFormat="1" applyFont="1" applyFill="1" applyBorder="1" applyProtection="1"/>
    <xf numFmtId="164" fontId="7" fillId="2" borderId="0" xfId="1" applyNumberFormat="1" applyFont="1" applyFill="1" applyBorder="1" applyProtection="1"/>
    <xf numFmtId="0" fontId="16" fillId="0" borderId="0" xfId="0" applyFont="1" applyBorder="1"/>
    <xf numFmtId="166" fontId="17" fillId="0" borderId="0" xfId="0" quotePrefix="1" applyNumberFormat="1" applyFont="1" applyBorder="1" applyAlignment="1">
      <alignment horizontal="left"/>
    </xf>
    <xf numFmtId="166" fontId="7" fillId="0" borderId="0" xfId="0" quotePrefix="1" applyNumberFormat="1" applyFont="1" applyBorder="1" applyAlignment="1">
      <alignment horizontal="left"/>
    </xf>
    <xf numFmtId="171" fontId="7" fillId="2" borderId="0" xfId="1" applyNumberFormat="1" applyFont="1" applyFill="1" applyBorder="1" applyProtection="1"/>
    <xf numFmtId="167" fontId="23" fillId="3" borderId="0" xfId="1" applyNumberFormat="1" applyFont="1" applyFill="1" applyBorder="1" applyProtection="1"/>
    <xf numFmtId="167" fontId="27" fillId="0" borderId="0" xfId="0" applyNumberFormat="1" applyFont="1"/>
    <xf numFmtId="167" fontId="28" fillId="0" borderId="0" xfId="0" applyNumberFormat="1" applyFont="1"/>
    <xf numFmtId="167" fontId="29" fillId="0" borderId="0" xfId="0" applyNumberFormat="1" applyFont="1"/>
    <xf numFmtId="164" fontId="13" fillId="2" borderId="0" xfId="1" applyNumberFormat="1" applyFont="1" applyFill="1" applyBorder="1" applyProtection="1"/>
    <xf numFmtId="0" fontId="4" fillId="2" borderId="0" xfId="0" applyFont="1" applyFill="1" applyBorder="1"/>
    <xf numFmtId="0" fontId="26" fillId="2" borderId="0" xfId="0" applyFont="1" applyFill="1" applyBorder="1"/>
    <xf numFmtId="0" fontId="30" fillId="2" borderId="0" xfId="0" quotePrefix="1" applyFont="1" applyFill="1" applyBorder="1" applyAlignment="1">
      <alignment horizontal="left"/>
    </xf>
    <xf numFmtId="0" fontId="18" fillId="2" borderId="0" xfId="0" applyFont="1" applyFill="1" applyBorder="1"/>
    <xf numFmtId="166" fontId="31" fillId="2" borderId="0" xfId="1" applyNumberFormat="1" applyFont="1" applyFill="1" applyBorder="1" applyProtection="1"/>
    <xf numFmtId="166" fontId="32" fillId="2" borderId="0" xfId="1" applyNumberFormat="1" applyFont="1" applyFill="1" applyBorder="1" applyProtection="1"/>
    <xf numFmtId="10" fontId="7" fillId="2" borderId="0" xfId="1" applyNumberFormat="1" applyFont="1" applyFill="1" applyBorder="1" applyProtection="1"/>
    <xf numFmtId="10" fontId="28" fillId="2" borderId="0" xfId="1" applyNumberFormat="1" applyFont="1" applyFill="1" applyBorder="1" applyProtection="1"/>
    <xf numFmtId="164" fontId="13" fillId="3" borderId="0" xfId="1" applyNumberFormat="1" applyFont="1" applyFill="1" applyBorder="1" applyProtection="1"/>
    <xf numFmtId="172" fontId="23" fillId="3" borderId="0" xfId="1" applyNumberFormat="1" applyFont="1" applyFill="1" applyBorder="1" applyProtection="1"/>
    <xf numFmtId="169" fontId="13" fillId="3" borderId="0" xfId="1" applyNumberFormat="1" applyFont="1" applyFill="1" applyBorder="1" applyProtection="1"/>
    <xf numFmtId="169" fontId="13" fillId="3" borderId="5" xfId="1" applyNumberFormat="1" applyFont="1" applyFill="1" applyBorder="1" applyProtection="1"/>
    <xf numFmtId="0" fontId="0" fillId="0" borderId="4" xfId="0" applyBorder="1"/>
    <xf numFmtId="164" fontId="15" fillId="0" borderId="0" xfId="0" applyNumberFormat="1" applyFont="1"/>
    <xf numFmtId="0" fontId="14" fillId="0" borderId="0" xfId="0" applyFont="1" applyAlignment="1">
      <alignment horizontal="center"/>
    </xf>
    <xf numFmtId="164" fontId="7" fillId="0" borderId="0" xfId="0" applyNumberFormat="1" applyFont="1"/>
    <xf numFmtId="0" fontId="13" fillId="2" borderId="0" xfId="0" applyFont="1" applyFill="1" applyAlignment="1">
      <alignment horizontal="left"/>
    </xf>
    <xf numFmtId="0" fontId="4" fillId="2" borderId="0" xfId="0" applyFont="1" applyFill="1"/>
    <xf numFmtId="0" fontId="16" fillId="2" borderId="0" xfId="0" applyFont="1" applyFill="1"/>
    <xf numFmtId="0" fontId="19" fillId="2" borderId="0" xfId="0" applyFont="1" applyFill="1"/>
    <xf numFmtId="0" fontId="20" fillId="2" borderId="0" xfId="0" applyFont="1" applyFill="1"/>
    <xf numFmtId="166" fontId="21" fillId="2" borderId="0" xfId="1" applyNumberFormat="1" applyFont="1" applyFill="1" applyBorder="1" applyProtection="1"/>
    <xf numFmtId="166" fontId="22" fillId="2" borderId="0" xfId="1" applyNumberFormat="1" applyFont="1" applyFill="1" applyBorder="1" applyProtection="1"/>
    <xf numFmtId="164" fontId="23" fillId="2" borderId="0" xfId="1" applyNumberFormat="1" applyFont="1" applyFill="1" applyBorder="1" applyProtection="1"/>
    <xf numFmtId="0" fontId="13" fillId="2" borderId="0" xfId="0" applyFont="1" applyFill="1" applyBorder="1" applyAlignment="1">
      <alignment horizontal="left"/>
    </xf>
    <xf numFmtId="0" fontId="16" fillId="2" borderId="0" xfId="0" applyFont="1" applyFill="1" applyBorder="1"/>
    <xf numFmtId="164" fontId="29" fillId="2" borderId="0" xfId="0" applyNumberFormat="1" applyFont="1" applyFill="1" applyBorder="1"/>
    <xf numFmtId="173" fontId="7" fillId="3" borderId="0" xfId="0" applyNumberFormat="1" applyFont="1" applyFill="1" applyBorder="1"/>
    <xf numFmtId="166" fontId="17" fillId="2" borderId="0" xfId="0" quotePrefix="1" applyNumberFormat="1" applyFont="1" applyFill="1" applyBorder="1" applyAlignment="1">
      <alignment horizontal="left"/>
    </xf>
    <xf numFmtId="166" fontId="7" fillId="2" borderId="0" xfId="0" quotePrefix="1" applyNumberFormat="1" applyFont="1" applyFill="1" applyBorder="1" applyAlignment="1">
      <alignment horizontal="left"/>
    </xf>
    <xf numFmtId="0" fontId="24" fillId="2" borderId="0" xfId="0" applyFont="1" applyFill="1" applyBorder="1"/>
    <xf numFmtId="171" fontId="17" fillId="2" borderId="0" xfId="0" quotePrefix="1" applyNumberFormat="1" applyFont="1" applyFill="1" applyBorder="1" applyAlignment="1"/>
    <xf numFmtId="171" fontId="7" fillId="2" borderId="0" xfId="0" quotePrefix="1" applyNumberFormat="1" applyFont="1" applyFill="1" applyBorder="1" applyAlignment="1"/>
    <xf numFmtId="164" fontId="7" fillId="2" borderId="0" xfId="0" applyNumberFormat="1" applyFont="1" applyFill="1" applyBorder="1"/>
    <xf numFmtId="0" fontId="24" fillId="2" borderId="4" xfId="0" applyFont="1" applyFill="1" applyBorder="1"/>
    <xf numFmtId="0" fontId="16" fillId="2" borderId="4" xfId="0" applyFont="1" applyFill="1" applyBorder="1"/>
    <xf numFmtId="171" fontId="17" fillId="2" borderId="4" xfId="0" quotePrefix="1" applyNumberFormat="1" applyFont="1" applyFill="1" applyBorder="1" applyAlignment="1"/>
    <xf numFmtId="171" fontId="7" fillId="2" borderId="4" xfId="0" quotePrefix="1" applyNumberFormat="1" applyFont="1" applyFill="1" applyBorder="1" applyAlignment="1"/>
    <xf numFmtId="164" fontId="7" fillId="2" borderId="4" xfId="0" applyNumberFormat="1" applyFont="1" applyFill="1" applyBorder="1"/>
    <xf numFmtId="164" fontId="23" fillId="3" borderId="0" xfId="1" applyNumberFormat="1" applyFont="1" applyFill="1" applyBorder="1" applyProtection="1"/>
    <xf numFmtId="174" fontId="7" fillId="3" borderId="0" xfId="1" applyNumberFormat="1" applyFont="1" applyFill="1" applyBorder="1" applyProtection="1"/>
    <xf numFmtId="174" fontId="23" fillId="3" borderId="0" xfId="1" applyNumberFormat="1" applyFont="1" applyFill="1" applyBorder="1" applyProtection="1"/>
    <xf numFmtId="169" fontId="23" fillId="3" borderId="0" xfId="1" applyNumberFormat="1" applyFont="1" applyFill="1" applyBorder="1" applyProtection="1"/>
    <xf numFmtId="175" fontId="23" fillId="3" borderId="0" xfId="1" applyNumberFormat="1" applyFont="1" applyFill="1" applyBorder="1" applyProtection="1"/>
    <xf numFmtId="175" fontId="13" fillId="3" borderId="5" xfId="1" applyNumberFormat="1" applyFont="1" applyFill="1" applyBorder="1" applyProtection="1"/>
    <xf numFmtId="175" fontId="7" fillId="3" borderId="0" xfId="1" applyNumberFormat="1" applyFont="1" applyFill="1" applyBorder="1" applyProtection="1"/>
    <xf numFmtId="0" fontId="33" fillId="0" borderId="0" xfId="0" applyFont="1"/>
    <xf numFmtId="0" fontId="34" fillId="0" borderId="0" xfId="0" applyFont="1"/>
    <xf numFmtId="165" fontId="15" fillId="0" borderId="0" xfId="0" applyNumberFormat="1" applyFont="1" applyBorder="1"/>
    <xf numFmtId="165" fontId="15" fillId="0" borderId="0" xfId="0" applyNumberFormat="1" applyFont="1"/>
    <xf numFmtId="0" fontId="35" fillId="0" borderId="0" xfId="0" applyFont="1"/>
    <xf numFmtId="0" fontId="33" fillId="2" borderId="0" xfId="0" applyFont="1" applyFill="1" applyBorder="1"/>
    <xf numFmtId="0" fontId="34" fillId="2" borderId="0" xfId="0" applyFont="1" applyFill="1" applyBorder="1"/>
    <xf numFmtId="0" fontId="15" fillId="2" borderId="0" xfId="0" applyFont="1" applyFill="1" applyBorder="1" applyAlignment="1">
      <alignment horizontal="center"/>
    </xf>
    <xf numFmtId="0" fontId="7" fillId="0" borderId="0" xfId="0" applyFont="1"/>
    <xf numFmtId="0" fontId="15" fillId="2" borderId="0" xfId="0" applyFont="1" applyFill="1" applyAlignment="1">
      <alignment horizontal="left"/>
    </xf>
    <xf numFmtId="0" fontId="36" fillId="2" borderId="0" xfId="0" applyFont="1" applyFill="1" applyBorder="1"/>
    <xf numFmtId="0" fontId="7" fillId="2" borderId="0" xfId="0" applyFont="1" applyFill="1"/>
    <xf numFmtId="0" fontId="13" fillId="2" borderId="0" xfId="0" applyFont="1" applyFill="1"/>
    <xf numFmtId="0" fontId="37" fillId="2" borderId="0" xfId="0" applyFont="1" applyFill="1" applyBorder="1"/>
    <xf numFmtId="164" fontId="15" fillId="2" borderId="0" xfId="1" applyNumberFormat="1" applyFont="1" applyFill="1" applyBorder="1" applyProtection="1"/>
    <xf numFmtId="0" fontId="0" fillId="0" borderId="2" xfId="0" applyBorder="1"/>
    <xf numFmtId="10" fontId="7" fillId="2" borderId="2" xfId="1" applyNumberFormat="1" applyFont="1" applyFill="1" applyBorder="1" applyProtection="1"/>
    <xf numFmtId="166" fontId="7" fillId="2" borderId="0" xfId="1" applyNumberFormat="1" applyFont="1" applyFill="1" applyBorder="1" applyProtection="1"/>
    <xf numFmtId="10" fontId="7" fillId="2" borderId="6" xfId="1" applyNumberFormat="1" applyFont="1" applyFill="1" applyBorder="1" applyProtection="1"/>
    <xf numFmtId="0" fontId="15" fillId="2" borderId="0" xfId="0" applyFont="1" applyFill="1" applyBorder="1" applyAlignment="1">
      <alignment horizontal="left"/>
    </xf>
    <xf numFmtId="10" fontId="7" fillId="2" borderId="7" xfId="1" applyNumberFormat="1" applyFont="1" applyFill="1" applyBorder="1" applyProtection="1"/>
    <xf numFmtId="0" fontId="38" fillId="2" borderId="0" xfId="0" applyFont="1" applyFill="1" applyBorder="1"/>
    <xf numFmtId="0" fontId="35" fillId="2" borderId="0" xfId="0" applyFont="1" applyFill="1" applyBorder="1"/>
    <xf numFmtId="172" fontId="7" fillId="2" borderId="6" xfId="1" applyNumberFormat="1" applyFont="1" applyFill="1" applyBorder="1" applyProtection="1"/>
    <xf numFmtId="164" fontId="17" fillId="2" borderId="0" xfId="1" applyNumberFormat="1" applyFont="1" applyFill="1" applyBorder="1" applyProtection="1"/>
    <xf numFmtId="172" fontId="7" fillId="2" borderId="7" xfId="1" applyNumberFormat="1" applyFont="1" applyFill="1" applyBorder="1" applyProtection="1"/>
    <xf numFmtId="166" fontId="13" fillId="2" borderId="0" xfId="1" applyNumberFormat="1" applyFont="1" applyFill="1" applyBorder="1" applyProtection="1"/>
    <xf numFmtId="173" fontId="7" fillId="2" borderId="0" xfId="0" applyNumberFormat="1" applyFont="1" applyFill="1" applyBorder="1"/>
    <xf numFmtId="0" fontId="35" fillId="2" borderId="4" xfId="0" applyFont="1" applyFill="1" applyBorder="1"/>
    <xf numFmtId="0" fontId="33" fillId="2" borderId="4" xfId="0" applyFont="1" applyFill="1" applyBorder="1"/>
    <xf numFmtId="0" fontId="36" fillId="2" borderId="4" xfId="0" applyFont="1" applyFill="1" applyBorder="1"/>
    <xf numFmtId="0" fontId="25" fillId="0" borderId="0" xfId="0" applyFont="1" applyAlignment="1">
      <alignment horizontal="center"/>
    </xf>
    <xf numFmtId="164" fontId="13" fillId="3" borderId="3" xfId="1" applyNumberFormat="1" applyFont="1" applyFill="1" applyBorder="1" applyAlignment="1" applyProtection="1">
      <alignment horizontal="center"/>
    </xf>
    <xf numFmtId="0" fontId="39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01A37-A80F-4D3D-AD90-98F8D6A4045F}">
  <dimension ref="B2:Y1005"/>
  <sheetViews>
    <sheetView showGridLines="0" tabSelected="1" topLeftCell="A110" zoomScale="77" zoomScaleNormal="79" workbookViewId="0">
      <selection activeCell="T22" sqref="T22"/>
    </sheetView>
  </sheetViews>
  <sheetFormatPr defaultRowHeight="14.4" x14ac:dyDescent="0.3"/>
  <cols>
    <col min="3" max="3" width="14.77734375" customWidth="1"/>
    <col min="7" max="8" width="14.77734375" customWidth="1"/>
    <col min="9" max="9" width="15.21875" customWidth="1"/>
    <col min="12" max="12" width="9.77734375" bestFit="1" customWidth="1"/>
    <col min="17" max="17" width="8.88671875" style="39"/>
  </cols>
  <sheetData>
    <row r="2" spans="2:16" ht="22.8" x14ac:dyDescent="0.4">
      <c r="B2" s="1" t="s">
        <v>5</v>
      </c>
      <c r="C2" s="2"/>
      <c r="D2" s="2"/>
      <c r="E2" s="2"/>
      <c r="F2" s="3"/>
      <c r="G2" s="3"/>
      <c r="H2" s="2"/>
      <c r="I2" s="2"/>
      <c r="J2" s="2"/>
      <c r="K2" s="4"/>
      <c r="L2" s="5"/>
      <c r="M2" s="5"/>
      <c r="N2" s="5"/>
      <c r="O2" s="5"/>
      <c r="P2" s="5"/>
    </row>
    <row r="3" spans="2:16" ht="17.399999999999999" x14ac:dyDescent="0.3">
      <c r="B3" s="6" t="s">
        <v>6</v>
      </c>
      <c r="C3" s="7"/>
      <c r="D3" s="7"/>
      <c r="E3" s="7"/>
      <c r="F3" s="8"/>
      <c r="G3" s="8"/>
      <c r="H3" s="7"/>
      <c r="I3" s="7"/>
      <c r="J3" s="7"/>
      <c r="K3" s="9"/>
      <c r="L3" s="10"/>
      <c r="M3" s="10"/>
      <c r="N3" s="10"/>
      <c r="O3" s="10"/>
      <c r="P3" s="10"/>
    </row>
    <row r="4" spans="2:16" ht="18" thickBot="1" x14ac:dyDescent="0.35">
      <c r="B4" s="11"/>
      <c r="C4" s="12"/>
      <c r="D4" s="12"/>
      <c r="E4" s="12"/>
      <c r="F4" s="13"/>
      <c r="G4" s="13"/>
      <c r="H4" s="12"/>
      <c r="I4" s="12"/>
      <c r="J4" s="12"/>
      <c r="K4" s="14"/>
      <c r="L4" s="15"/>
      <c r="M4" s="15"/>
      <c r="N4" s="15"/>
      <c r="O4" s="15"/>
      <c r="P4" s="15"/>
    </row>
    <row r="5" spans="2:16" ht="17.399999999999999" x14ac:dyDescent="0.3">
      <c r="B5" s="7"/>
      <c r="C5" s="7"/>
      <c r="D5" s="7"/>
      <c r="E5" s="7"/>
      <c r="F5" s="8"/>
      <c r="G5" s="8"/>
      <c r="H5" s="7"/>
      <c r="I5" s="7"/>
      <c r="J5" s="7"/>
      <c r="K5" s="9"/>
      <c r="L5" s="10"/>
      <c r="M5" s="10"/>
      <c r="N5" s="10"/>
      <c r="O5" s="10"/>
      <c r="P5" s="10"/>
    </row>
    <row r="6" spans="2:16" x14ac:dyDescent="0.3">
      <c r="B6" s="16"/>
      <c r="C6" s="16"/>
      <c r="D6" s="16"/>
      <c r="E6" s="16"/>
      <c r="F6" s="17"/>
      <c r="G6" s="18"/>
      <c r="H6" s="16"/>
      <c r="I6" s="16"/>
      <c r="J6" s="16"/>
      <c r="K6" s="19"/>
      <c r="L6" s="20" t="s">
        <v>0</v>
      </c>
      <c r="M6" s="21"/>
      <c r="N6" s="21"/>
      <c r="O6" s="21"/>
      <c r="P6" s="21"/>
    </row>
    <row r="7" spans="2:16" x14ac:dyDescent="0.3">
      <c r="B7" s="16"/>
      <c r="C7" s="16"/>
      <c r="D7" s="16"/>
      <c r="E7" s="16"/>
      <c r="F7" s="17"/>
      <c r="G7" s="22">
        <f>H7-1</f>
        <v>2021</v>
      </c>
      <c r="H7" s="23">
        <f>I7-1</f>
        <v>2022</v>
      </c>
      <c r="I7" s="24">
        <f>J7-1</f>
        <v>2023</v>
      </c>
      <c r="J7" s="24">
        <f>K7-1</f>
        <v>2024</v>
      </c>
      <c r="K7" s="25">
        <f>L7-1</f>
        <v>2025</v>
      </c>
      <c r="L7" s="26">
        <v>2026</v>
      </c>
      <c r="M7" s="26">
        <f>L7+1</f>
        <v>2027</v>
      </c>
      <c r="N7" s="26">
        <f t="shared" ref="N7:P7" si="0">M7+1</f>
        <v>2028</v>
      </c>
      <c r="O7" s="26">
        <f t="shared" si="0"/>
        <v>2029</v>
      </c>
      <c r="P7" s="26">
        <f t="shared" si="0"/>
        <v>2030</v>
      </c>
    </row>
    <row r="8" spans="2:16" x14ac:dyDescent="0.3">
      <c r="B8" s="27"/>
      <c r="C8" s="16"/>
      <c r="D8" s="16"/>
      <c r="E8" s="16"/>
      <c r="F8" s="28"/>
      <c r="G8" s="29"/>
      <c r="H8" s="30"/>
      <c r="I8" s="31"/>
      <c r="J8" s="31"/>
      <c r="K8" s="32"/>
      <c r="L8" s="33"/>
      <c r="M8" s="33"/>
      <c r="N8" s="33"/>
      <c r="O8" s="33"/>
      <c r="P8" s="33"/>
    </row>
    <row r="9" spans="2:16" x14ac:dyDescent="0.3">
      <c r="B9" s="27"/>
      <c r="C9" s="16" t="s">
        <v>7</v>
      </c>
      <c r="D9" s="16"/>
      <c r="E9" s="16"/>
      <c r="F9" s="28" t="s">
        <v>8</v>
      </c>
      <c r="G9" s="34"/>
      <c r="H9" s="34"/>
      <c r="I9" s="34"/>
      <c r="J9" s="34"/>
      <c r="K9" s="35"/>
      <c r="L9" s="37">
        <v>0.85</v>
      </c>
      <c r="M9" s="37">
        <v>0.4</v>
      </c>
      <c r="N9" s="37">
        <v>0.25</v>
      </c>
      <c r="O9" s="37">
        <v>0.15</v>
      </c>
      <c r="P9" s="37">
        <v>0.1</v>
      </c>
    </row>
    <row r="10" spans="2:16" x14ac:dyDescent="0.3">
      <c r="B10" s="27"/>
      <c r="C10" s="16" t="s">
        <v>9</v>
      </c>
      <c r="D10" s="16"/>
      <c r="E10" s="16"/>
      <c r="F10" s="28" t="s">
        <v>8</v>
      </c>
      <c r="G10" s="34"/>
      <c r="H10" s="34"/>
      <c r="I10" s="34"/>
      <c r="J10" s="34"/>
      <c r="K10" s="35"/>
      <c r="L10" s="37">
        <v>0.62</v>
      </c>
      <c r="M10" s="37">
        <v>0.63</v>
      </c>
      <c r="N10" s="37">
        <v>0.62</v>
      </c>
      <c r="O10" s="37">
        <v>0.61</v>
      </c>
      <c r="P10" s="37">
        <v>0.6</v>
      </c>
    </row>
    <row r="11" spans="2:16" x14ac:dyDescent="0.3">
      <c r="B11" s="27"/>
      <c r="C11" s="16" t="s">
        <v>1</v>
      </c>
      <c r="D11" s="16"/>
      <c r="E11" s="16"/>
      <c r="F11" s="28" t="s">
        <v>8</v>
      </c>
      <c r="G11" s="34"/>
      <c r="H11" s="34"/>
      <c r="I11" s="34"/>
      <c r="J11" s="34"/>
      <c r="K11" s="35"/>
      <c r="L11" s="37">
        <v>0.13</v>
      </c>
      <c r="M11" s="37">
        <v>0.13</v>
      </c>
      <c r="N11" s="37">
        <v>0.13</v>
      </c>
      <c r="O11" s="37">
        <v>0.13</v>
      </c>
      <c r="P11" s="37">
        <v>0.13</v>
      </c>
    </row>
    <row r="12" spans="2:16" x14ac:dyDescent="0.3">
      <c r="B12" s="27"/>
      <c r="C12" s="16" t="s">
        <v>2</v>
      </c>
      <c r="D12" s="16"/>
      <c r="E12" s="16"/>
      <c r="F12" s="28" t="s">
        <v>13</v>
      </c>
      <c r="G12" s="34"/>
      <c r="H12" s="34"/>
      <c r="I12" s="34"/>
      <c r="J12" s="34"/>
      <c r="K12" s="35"/>
      <c r="L12" s="37">
        <v>3.5000000000000003E-2</v>
      </c>
      <c r="M12" s="37">
        <v>3.5000000000000003E-2</v>
      </c>
      <c r="N12" s="37">
        <v>3.5000000000000003E-2</v>
      </c>
      <c r="O12" s="37">
        <v>3.5000000000000003E-2</v>
      </c>
      <c r="P12" s="37">
        <v>3.5000000000000003E-2</v>
      </c>
    </row>
    <row r="13" spans="2:16" x14ac:dyDescent="0.3">
      <c r="B13" s="16"/>
      <c r="C13" s="16" t="s">
        <v>3</v>
      </c>
      <c r="D13" s="16"/>
      <c r="E13" s="16"/>
      <c r="F13" s="28" t="s">
        <v>13</v>
      </c>
      <c r="G13" s="34"/>
      <c r="H13" s="34"/>
      <c r="I13" s="34"/>
      <c r="J13" s="34"/>
      <c r="K13" s="35"/>
      <c r="L13" s="37">
        <v>0.03</v>
      </c>
      <c r="M13" s="37">
        <v>0.03</v>
      </c>
      <c r="N13" s="37">
        <v>0.03</v>
      </c>
      <c r="O13" s="37">
        <v>0.03</v>
      </c>
      <c r="P13" s="37">
        <v>0.03</v>
      </c>
    </row>
    <row r="14" spans="2:16" x14ac:dyDescent="0.3">
      <c r="B14" s="16"/>
      <c r="C14" s="16" t="s">
        <v>10</v>
      </c>
      <c r="D14" s="16"/>
      <c r="E14" s="16"/>
      <c r="F14" s="28" t="s">
        <v>13</v>
      </c>
      <c r="G14" s="34"/>
      <c r="H14" s="34"/>
      <c r="I14" s="34"/>
      <c r="J14" s="34"/>
      <c r="K14" s="35"/>
      <c r="L14" s="37">
        <v>0</v>
      </c>
      <c r="M14" s="37">
        <v>0</v>
      </c>
      <c r="N14" s="37">
        <v>0</v>
      </c>
      <c r="O14" s="37">
        <v>0</v>
      </c>
      <c r="P14" s="37">
        <v>0</v>
      </c>
    </row>
    <row r="15" spans="2:16" x14ac:dyDescent="0.3">
      <c r="B15" s="16"/>
      <c r="C15" s="16"/>
      <c r="D15" s="16"/>
      <c r="E15" s="16"/>
      <c r="F15" s="28"/>
      <c r="G15" s="34"/>
      <c r="H15" s="34"/>
      <c r="I15" s="34"/>
      <c r="J15" s="34"/>
      <c r="K15" s="35"/>
      <c r="L15" s="38"/>
      <c r="M15" s="38"/>
      <c r="N15" s="38"/>
      <c r="O15" s="38"/>
      <c r="P15" s="38"/>
    </row>
    <row r="16" spans="2:16" x14ac:dyDescent="0.3">
      <c r="B16" s="16"/>
      <c r="C16" s="16" t="s">
        <v>11</v>
      </c>
      <c r="D16" s="16"/>
      <c r="E16" s="16"/>
      <c r="F16" s="28" t="s">
        <v>8</v>
      </c>
      <c r="G16" s="34"/>
      <c r="H16" s="34"/>
      <c r="I16" s="34"/>
      <c r="J16" s="34"/>
      <c r="K16" s="35"/>
      <c r="L16" s="37">
        <v>0.1</v>
      </c>
      <c r="M16" s="39"/>
      <c r="N16" s="38"/>
      <c r="O16" s="38"/>
      <c r="P16" s="38"/>
    </row>
    <row r="17" spans="2:16" x14ac:dyDescent="0.3">
      <c r="B17" s="16"/>
      <c r="C17" s="16" t="s">
        <v>12</v>
      </c>
      <c r="D17" s="16"/>
      <c r="E17" s="16"/>
      <c r="F17" s="28" t="s">
        <v>8</v>
      </c>
      <c r="G17" s="34"/>
      <c r="H17" s="34"/>
      <c r="I17" s="34"/>
      <c r="J17" s="34"/>
      <c r="K17" s="35"/>
      <c r="L17" s="37">
        <v>0.03</v>
      </c>
      <c r="M17" s="38"/>
      <c r="N17" s="38"/>
      <c r="O17" s="38"/>
      <c r="P17" s="38"/>
    </row>
    <row r="18" spans="2:16" x14ac:dyDescent="0.3">
      <c r="B18" s="16"/>
      <c r="C18" s="16" t="s">
        <v>31</v>
      </c>
      <c r="D18" s="16"/>
      <c r="E18" s="36"/>
      <c r="F18" s="36"/>
      <c r="G18" s="36"/>
      <c r="H18" s="36"/>
      <c r="I18" s="36"/>
      <c r="J18" s="36"/>
      <c r="K18" s="36"/>
      <c r="L18" s="71">
        <v>30</v>
      </c>
      <c r="M18" s="36"/>
      <c r="N18" s="36"/>
      <c r="O18" s="36"/>
      <c r="P18" s="36"/>
    </row>
    <row r="19" spans="2:16" x14ac:dyDescent="0.3">
      <c r="B19" s="16"/>
      <c r="C19" s="16" t="s">
        <v>38</v>
      </c>
      <c r="D19" s="16"/>
      <c r="E19" s="36"/>
      <c r="F19" s="28" t="s">
        <v>51</v>
      </c>
      <c r="G19" s="36"/>
      <c r="H19" s="36"/>
      <c r="I19" s="36"/>
      <c r="J19" s="36"/>
      <c r="K19" s="36"/>
      <c r="L19" s="101">
        <v>-8461</v>
      </c>
      <c r="M19" s="36"/>
      <c r="N19" s="36"/>
      <c r="O19" s="36"/>
      <c r="P19" s="36"/>
    </row>
    <row r="20" spans="2:16" x14ac:dyDescent="0.3">
      <c r="B20" s="16"/>
      <c r="C20" s="16" t="s">
        <v>39</v>
      </c>
      <c r="D20" s="16"/>
      <c r="E20" s="36"/>
      <c r="F20" s="28" t="s">
        <v>51</v>
      </c>
      <c r="G20" s="36"/>
      <c r="H20" s="36"/>
      <c r="I20" s="36"/>
      <c r="J20" s="36"/>
      <c r="K20" s="36"/>
      <c r="L20" s="101">
        <v>43238</v>
      </c>
      <c r="M20" s="36"/>
      <c r="N20" s="36"/>
      <c r="O20" s="36"/>
      <c r="P20" s="36"/>
    </row>
    <row r="21" spans="2:16" x14ac:dyDescent="0.3">
      <c r="B21" s="16"/>
      <c r="C21" s="16" t="s">
        <v>40</v>
      </c>
      <c r="D21" s="16"/>
      <c r="E21" s="36"/>
      <c r="F21" s="28" t="s">
        <v>51</v>
      </c>
      <c r="G21" s="36"/>
      <c r="H21" s="36"/>
      <c r="I21" s="36"/>
      <c r="J21" s="36"/>
      <c r="K21" s="36"/>
      <c r="L21" s="103">
        <v>0</v>
      </c>
      <c r="M21" s="36"/>
      <c r="N21" s="36"/>
      <c r="O21" s="36"/>
      <c r="P21" s="36"/>
    </row>
    <row r="22" spans="2:16" x14ac:dyDescent="0.3">
      <c r="B22" s="16"/>
      <c r="C22" s="16" t="s">
        <v>42</v>
      </c>
      <c r="D22" s="16"/>
      <c r="E22" s="36"/>
      <c r="F22" s="28" t="s">
        <v>52</v>
      </c>
      <c r="G22" s="36"/>
      <c r="H22" s="36"/>
      <c r="I22" s="36"/>
      <c r="J22" s="36"/>
      <c r="K22" s="36"/>
      <c r="L22" s="104">
        <v>24430</v>
      </c>
      <c r="M22" s="36"/>
      <c r="N22" s="36"/>
      <c r="O22" s="36"/>
      <c r="P22" s="36"/>
    </row>
    <row r="23" spans="2:16" x14ac:dyDescent="0.3">
      <c r="B23" s="16"/>
      <c r="C23" s="16" t="s">
        <v>44</v>
      </c>
      <c r="D23" s="16"/>
      <c r="E23" s="36"/>
      <c r="F23" s="28"/>
      <c r="G23" s="36"/>
      <c r="H23" s="36"/>
      <c r="I23" s="36"/>
      <c r="J23" s="36"/>
      <c r="K23" s="36"/>
      <c r="L23" s="105">
        <v>178.68</v>
      </c>
      <c r="M23" s="36"/>
      <c r="N23" s="36"/>
      <c r="O23" s="36"/>
      <c r="P23" s="36"/>
    </row>
    <row r="24" spans="2:16" x14ac:dyDescent="0.3">
      <c r="B24" s="16"/>
      <c r="C24" s="36"/>
      <c r="D24" s="1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</row>
    <row r="25" spans="2:16" x14ac:dyDescent="0.3">
      <c r="B25" s="40"/>
      <c r="C25" s="41"/>
      <c r="D25" s="42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</row>
    <row r="29" spans="2:16" ht="22.8" x14ac:dyDescent="0.4">
      <c r="B29" s="1" t="s">
        <v>18</v>
      </c>
      <c r="C29" s="2"/>
      <c r="D29" s="2"/>
      <c r="E29" s="2"/>
      <c r="F29" s="3"/>
      <c r="G29" s="3"/>
      <c r="H29" s="2"/>
      <c r="I29" s="2"/>
      <c r="J29" s="2"/>
      <c r="K29" s="4"/>
      <c r="L29" s="5"/>
      <c r="M29" s="5"/>
      <c r="N29" s="5"/>
      <c r="O29" s="5"/>
      <c r="P29" s="5"/>
    </row>
    <row r="30" spans="2:16" ht="17.399999999999999" x14ac:dyDescent="0.3">
      <c r="B30" s="6" t="s">
        <v>17</v>
      </c>
      <c r="C30" s="7"/>
      <c r="D30" s="7"/>
      <c r="E30" s="7"/>
      <c r="F30" s="8"/>
      <c r="G30" s="8"/>
      <c r="H30" s="7"/>
      <c r="I30" s="7"/>
      <c r="J30" s="7"/>
      <c r="K30" s="9"/>
      <c r="L30" s="10"/>
      <c r="M30" s="10"/>
      <c r="N30" s="10"/>
      <c r="O30" s="10"/>
      <c r="P30" s="10"/>
    </row>
    <row r="31" spans="2:16" ht="18" thickBot="1" x14ac:dyDescent="0.35">
      <c r="B31" s="11"/>
      <c r="C31" s="12"/>
      <c r="D31" s="12"/>
      <c r="E31" s="12"/>
      <c r="F31" s="13"/>
      <c r="G31" s="13"/>
      <c r="H31" s="12"/>
      <c r="I31" s="12"/>
      <c r="J31" s="12"/>
      <c r="K31" s="14"/>
      <c r="L31" s="15"/>
      <c r="M31" s="15"/>
      <c r="N31" s="15"/>
      <c r="O31" s="15"/>
      <c r="P31" s="15"/>
    </row>
    <row r="32" spans="2:16" ht="17.399999999999999" x14ac:dyDescent="0.3">
      <c r="B32" s="139" t="s">
        <v>50</v>
      </c>
      <c r="C32" s="7"/>
      <c r="D32" s="7"/>
      <c r="E32" s="7"/>
      <c r="F32" s="8"/>
      <c r="G32" s="8"/>
      <c r="H32" s="7"/>
      <c r="I32" s="7"/>
      <c r="J32" s="7"/>
      <c r="K32" s="9"/>
      <c r="L32" s="10"/>
      <c r="M32" s="10"/>
      <c r="N32" s="10"/>
      <c r="O32" s="10"/>
      <c r="P32" s="10"/>
    </row>
    <row r="33" spans="2:16" x14ac:dyDescent="0.3">
      <c r="B33" s="16"/>
      <c r="C33" s="16"/>
      <c r="D33" s="16"/>
      <c r="E33" s="16"/>
      <c r="F33" s="17"/>
      <c r="G33" s="18"/>
      <c r="H33" s="16"/>
      <c r="I33" s="16"/>
      <c r="J33" s="16"/>
      <c r="K33" s="19"/>
      <c r="L33" s="20" t="s">
        <v>0</v>
      </c>
      <c r="M33" s="21"/>
      <c r="N33" s="21"/>
      <c r="O33" s="21"/>
      <c r="P33" s="21"/>
    </row>
    <row r="34" spans="2:16" x14ac:dyDescent="0.3">
      <c r="B34" s="16"/>
      <c r="C34" s="16"/>
      <c r="D34" s="16"/>
      <c r="E34" s="16"/>
      <c r="F34" s="17"/>
      <c r="G34" s="22">
        <f>H34-1</f>
        <v>2021</v>
      </c>
      <c r="H34" s="23">
        <f>I34-1</f>
        <v>2022</v>
      </c>
      <c r="I34" s="24">
        <f>J34-1</f>
        <v>2023</v>
      </c>
      <c r="J34" s="24">
        <f>K34-1</f>
        <v>2024</v>
      </c>
      <c r="K34" s="25">
        <f>L34-1</f>
        <v>2025</v>
      </c>
      <c r="L34" s="26">
        <v>2026</v>
      </c>
      <c r="M34" s="26">
        <f>L34+1</f>
        <v>2027</v>
      </c>
      <c r="N34" s="26">
        <f t="shared" ref="N34" si="1">M34+1</f>
        <v>2028</v>
      </c>
      <c r="O34" s="26">
        <f t="shared" ref="O34" si="2">N34+1</f>
        <v>2029</v>
      </c>
      <c r="P34" s="26">
        <f t="shared" ref="P34" si="3">O34+1</f>
        <v>2030</v>
      </c>
    </row>
    <row r="35" spans="2:16" x14ac:dyDescent="0.3">
      <c r="B35" s="27"/>
      <c r="C35" s="16"/>
      <c r="D35" s="16"/>
      <c r="E35" s="16"/>
      <c r="F35" s="28"/>
      <c r="G35" s="29"/>
      <c r="H35" s="30"/>
      <c r="I35" s="31"/>
      <c r="J35" s="31"/>
      <c r="K35" s="32"/>
      <c r="L35" s="33"/>
      <c r="M35" s="33"/>
      <c r="N35" s="33"/>
      <c r="O35" s="33"/>
      <c r="P35" s="33"/>
    </row>
    <row r="36" spans="2:16" x14ac:dyDescent="0.3">
      <c r="B36" s="27"/>
      <c r="C36" s="16" t="s">
        <v>14</v>
      </c>
      <c r="D36" s="16"/>
      <c r="E36" s="16"/>
      <c r="F36" s="28" t="s">
        <v>51</v>
      </c>
      <c r="G36" s="34"/>
      <c r="H36" s="34"/>
      <c r="I36" s="34">
        <v>26974</v>
      </c>
      <c r="J36" s="34">
        <v>60922</v>
      </c>
      <c r="K36" s="35">
        <v>130497</v>
      </c>
      <c r="L36" s="47">
        <f>K36*(1+L9)</f>
        <v>241419.45</v>
      </c>
      <c r="M36" s="47">
        <f t="shared" ref="M36:P36" si="4">L36*(1+M9)</f>
        <v>337987.23</v>
      </c>
      <c r="N36" s="47">
        <f t="shared" si="4"/>
        <v>422484.03749999998</v>
      </c>
      <c r="O36" s="47">
        <f t="shared" si="4"/>
        <v>485856.64312499994</v>
      </c>
      <c r="P36" s="47">
        <f t="shared" si="4"/>
        <v>534442.30743749999</v>
      </c>
    </row>
    <row r="37" spans="2:16" x14ac:dyDescent="0.3">
      <c r="B37" s="27"/>
      <c r="C37" s="16" t="s">
        <v>15</v>
      </c>
      <c r="D37" s="16"/>
      <c r="E37" s="16"/>
      <c r="F37" s="28" t="s">
        <v>51</v>
      </c>
      <c r="G37" s="34"/>
      <c r="H37" s="34"/>
      <c r="I37" s="34">
        <v>4224</v>
      </c>
      <c r="J37" s="34">
        <v>32972</v>
      </c>
      <c r="K37" s="35">
        <v>81453</v>
      </c>
      <c r="L37" s="47">
        <f>L36*L10</f>
        <v>149680.05900000001</v>
      </c>
      <c r="M37" s="47">
        <f t="shared" ref="M37:P37" si="5">M36*M10</f>
        <v>212931.95489999998</v>
      </c>
      <c r="N37" s="47">
        <f t="shared" si="5"/>
        <v>261940.10324999999</v>
      </c>
      <c r="O37" s="47">
        <f t="shared" si="5"/>
        <v>296372.55230624997</v>
      </c>
      <c r="P37" s="47">
        <f t="shared" si="5"/>
        <v>320665.38446249999</v>
      </c>
    </row>
    <row r="38" spans="2:16" x14ac:dyDescent="0.3">
      <c r="B38" s="27"/>
      <c r="C38" s="16" t="s">
        <v>53</v>
      </c>
      <c r="D38" s="16"/>
      <c r="E38" s="16"/>
      <c r="F38" s="28"/>
      <c r="G38" s="34"/>
      <c r="H38" s="34"/>
      <c r="I38" s="34">
        <f>I37+I42</f>
        <v>5768</v>
      </c>
      <c r="J38" s="34">
        <f t="shared" ref="J38:K38" si="6">J37+J42</f>
        <v>35803</v>
      </c>
      <c r="K38" s="34">
        <f t="shared" si="6"/>
        <v>86069</v>
      </c>
      <c r="L38" s="47">
        <f>L37+L42</f>
        <v>158129.73975000001</v>
      </c>
      <c r="M38" s="47">
        <f t="shared" ref="M38:P38" si="7">M37+M42</f>
        <v>224761.50794999997</v>
      </c>
      <c r="N38" s="47">
        <f t="shared" si="7"/>
        <v>276727.04456249997</v>
      </c>
      <c r="O38" s="47">
        <f t="shared" si="7"/>
        <v>313377.534815625</v>
      </c>
      <c r="P38" s="47">
        <f t="shared" si="7"/>
        <v>339370.86522281251</v>
      </c>
    </row>
    <row r="39" spans="2:16" x14ac:dyDescent="0.3">
      <c r="B39" s="27"/>
      <c r="C39" s="16" t="s">
        <v>9</v>
      </c>
      <c r="D39" s="16"/>
      <c r="E39" s="16"/>
      <c r="F39" s="28" t="s">
        <v>8</v>
      </c>
      <c r="G39" s="34"/>
      <c r="H39" s="34"/>
      <c r="I39" s="45">
        <f>I37/I36</f>
        <v>0.1565952398606065</v>
      </c>
      <c r="J39" s="45">
        <f t="shared" ref="J39:K39" si="8">J37/J36</f>
        <v>0.54121663766783756</v>
      </c>
      <c r="K39" s="45">
        <f t="shared" si="8"/>
        <v>0.62417526839697468</v>
      </c>
      <c r="L39" s="37">
        <f>L10</f>
        <v>0.62</v>
      </c>
      <c r="M39" s="37">
        <f t="shared" ref="M39:P39" si="9">M10</f>
        <v>0.63</v>
      </c>
      <c r="N39" s="37">
        <f t="shared" si="9"/>
        <v>0.62</v>
      </c>
      <c r="O39" s="37">
        <f t="shared" si="9"/>
        <v>0.61</v>
      </c>
      <c r="P39" s="37">
        <f t="shared" si="9"/>
        <v>0.6</v>
      </c>
    </row>
    <row r="40" spans="2:16" x14ac:dyDescent="0.3">
      <c r="B40" s="27"/>
      <c r="C40" s="16" t="s">
        <v>1</v>
      </c>
      <c r="D40" s="16"/>
      <c r="E40" s="16"/>
      <c r="F40" s="28" t="s">
        <v>8</v>
      </c>
      <c r="G40" s="34"/>
      <c r="H40" s="34"/>
      <c r="I40" s="44">
        <v>1.2999999999999999E-2</v>
      </c>
      <c r="J40" s="44">
        <v>1.2E-2</v>
      </c>
      <c r="K40" s="46">
        <v>0.13</v>
      </c>
      <c r="L40" s="37">
        <f>L11</f>
        <v>0.13</v>
      </c>
      <c r="M40" s="37">
        <f t="shared" ref="M40:P40" si="10">M11</f>
        <v>0.13</v>
      </c>
      <c r="N40" s="37">
        <f t="shared" si="10"/>
        <v>0.13</v>
      </c>
      <c r="O40" s="37">
        <f t="shared" si="10"/>
        <v>0.13</v>
      </c>
      <c r="P40" s="37">
        <f t="shared" si="10"/>
        <v>0.13</v>
      </c>
    </row>
    <row r="41" spans="2:16" x14ac:dyDescent="0.3">
      <c r="B41" s="27"/>
      <c r="C41" s="16" t="s">
        <v>16</v>
      </c>
      <c r="D41" s="16"/>
      <c r="E41" s="16"/>
      <c r="F41" s="28" t="s">
        <v>51</v>
      </c>
      <c r="G41" s="34"/>
      <c r="H41" s="34"/>
      <c r="I41" s="44"/>
      <c r="J41" s="44"/>
      <c r="K41" s="46"/>
      <c r="L41" s="47">
        <f>L37*(1-L40)</f>
        <v>130221.65133000001</v>
      </c>
      <c r="M41" s="47">
        <f t="shared" ref="M41:P41" si="11">M37*(1-M40)</f>
        <v>185250.80076299998</v>
      </c>
      <c r="N41" s="47">
        <f t="shared" si="11"/>
        <v>227887.88982749998</v>
      </c>
      <c r="O41" s="47">
        <f t="shared" si="11"/>
        <v>257844.12050643747</v>
      </c>
      <c r="P41" s="47">
        <f t="shared" si="11"/>
        <v>278978.884482375</v>
      </c>
    </row>
    <row r="42" spans="2:16" x14ac:dyDescent="0.3">
      <c r="B42" s="27"/>
      <c r="C42" s="16" t="s">
        <v>2</v>
      </c>
      <c r="D42" s="16"/>
      <c r="E42" s="16"/>
      <c r="F42" s="28" t="s">
        <v>51</v>
      </c>
      <c r="G42" s="34"/>
      <c r="H42" s="34"/>
      <c r="I42" s="34">
        <v>1544</v>
      </c>
      <c r="J42" s="34">
        <v>2831</v>
      </c>
      <c r="K42" s="35">
        <v>4616</v>
      </c>
      <c r="L42" s="47">
        <f>L36*L12</f>
        <v>8449.6807500000014</v>
      </c>
      <c r="M42" s="47">
        <f t="shared" ref="M42:P42" si="12">M36*M12</f>
        <v>11829.55305</v>
      </c>
      <c r="N42" s="47">
        <f t="shared" si="12"/>
        <v>14786.941312500001</v>
      </c>
      <c r="O42" s="47">
        <f t="shared" si="12"/>
        <v>17004.982509375001</v>
      </c>
      <c r="P42" s="47">
        <f t="shared" si="12"/>
        <v>18705.480760312501</v>
      </c>
    </row>
    <row r="43" spans="2:16" x14ac:dyDescent="0.3">
      <c r="B43" s="16"/>
      <c r="C43" s="16" t="s">
        <v>3</v>
      </c>
      <c r="D43" s="16"/>
      <c r="E43" s="16"/>
      <c r="F43" s="28" t="s">
        <v>51</v>
      </c>
      <c r="G43" s="34"/>
      <c r="H43" s="34"/>
      <c r="I43" s="34">
        <v>1833</v>
      </c>
      <c r="J43" s="34">
        <v>2161</v>
      </c>
      <c r="K43" s="35">
        <v>3729</v>
      </c>
      <c r="L43" s="47">
        <f>-L36*L13</f>
        <v>-7242.5834999999997</v>
      </c>
      <c r="M43" s="47">
        <f t="shared" ref="M43:P43" si="13">-M36*M13</f>
        <v>-10139.616899999999</v>
      </c>
      <c r="N43" s="47">
        <f t="shared" si="13"/>
        <v>-12674.521124999999</v>
      </c>
      <c r="O43" s="47">
        <f t="shared" si="13"/>
        <v>-14575.699293749998</v>
      </c>
      <c r="P43" s="47">
        <f t="shared" si="13"/>
        <v>-16033.269223124998</v>
      </c>
    </row>
    <row r="44" spans="2:16" x14ac:dyDescent="0.3">
      <c r="B44" s="16"/>
      <c r="C44" s="16" t="s">
        <v>10</v>
      </c>
      <c r="D44" s="16"/>
      <c r="E44" s="16"/>
      <c r="F44" s="28" t="s">
        <v>51</v>
      </c>
      <c r="G44" s="34"/>
      <c r="H44" s="34"/>
      <c r="I44" s="34">
        <v>636</v>
      </c>
      <c r="J44" s="34">
        <v>-6461</v>
      </c>
      <c r="K44" s="35">
        <v>-5771</v>
      </c>
      <c r="L44" s="102">
        <f>-L36*L14</f>
        <v>0</v>
      </c>
      <c r="M44" s="102">
        <f t="shared" ref="M44:P44" si="14">-M36*M14</f>
        <v>0</v>
      </c>
      <c r="N44" s="102">
        <f t="shared" si="14"/>
        <v>0</v>
      </c>
      <c r="O44" s="102">
        <f t="shared" si="14"/>
        <v>0</v>
      </c>
      <c r="P44" s="102">
        <f t="shared" si="14"/>
        <v>0</v>
      </c>
    </row>
    <row r="45" spans="2:16" x14ac:dyDescent="0.3">
      <c r="B45" s="16"/>
      <c r="C45" s="36" t="s">
        <v>4</v>
      </c>
      <c r="D45" s="16"/>
      <c r="E45" s="16"/>
      <c r="F45" s="16"/>
      <c r="G45" s="48"/>
      <c r="H45" s="48"/>
      <c r="I45" s="48"/>
      <c r="J45" s="48"/>
      <c r="K45" s="48"/>
      <c r="L45" s="49">
        <f>SUM(L41:L44)</f>
        <v>131428.74858000001</v>
      </c>
      <c r="M45" s="49">
        <f t="shared" ref="M45:P45" si="15">SUM(M41:M44)</f>
        <v>186940.73691299997</v>
      </c>
      <c r="N45" s="49">
        <f t="shared" si="15"/>
        <v>230000.310015</v>
      </c>
      <c r="O45" s="49">
        <f t="shared" si="15"/>
        <v>260273.40372206247</v>
      </c>
      <c r="P45" s="49">
        <f t="shared" si="15"/>
        <v>281651.09601956251</v>
      </c>
    </row>
    <row r="46" spans="2:16" x14ac:dyDescent="0.3"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</row>
    <row r="48" spans="2:16" x14ac:dyDescent="0.3">
      <c r="B48" s="74"/>
      <c r="C48" s="74"/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</row>
    <row r="52" spans="2:16" ht="22.8" x14ac:dyDescent="0.4">
      <c r="B52" s="1" t="str">
        <f>B29</f>
        <v xml:space="preserve">NVIDIA CORPORATION </v>
      </c>
      <c r="C52" s="2"/>
      <c r="D52" s="2"/>
      <c r="E52" s="2"/>
      <c r="F52" s="3"/>
      <c r="G52" s="3"/>
      <c r="H52" s="2"/>
      <c r="I52" s="2"/>
      <c r="J52" s="2"/>
      <c r="K52" s="4"/>
      <c r="L52" s="5"/>
      <c r="M52" s="5"/>
      <c r="N52" s="5"/>
      <c r="O52" s="5"/>
      <c r="P52" s="5"/>
    </row>
    <row r="53" spans="2:16" ht="17.399999999999999" x14ac:dyDescent="0.3">
      <c r="B53" s="6" t="s">
        <v>19</v>
      </c>
      <c r="C53" s="7"/>
      <c r="D53" s="7"/>
      <c r="E53" s="7"/>
      <c r="F53" s="8"/>
      <c r="G53" s="8"/>
      <c r="H53" s="7"/>
      <c r="I53" s="7"/>
      <c r="J53" s="7"/>
      <c r="K53" s="9"/>
      <c r="L53" s="10"/>
      <c r="M53" s="10"/>
      <c r="N53" s="10"/>
      <c r="O53" s="10"/>
      <c r="P53" s="10"/>
    </row>
    <row r="54" spans="2:16" ht="18" thickBot="1" x14ac:dyDescent="0.35">
      <c r="B54" s="11"/>
      <c r="C54" s="12"/>
      <c r="D54" s="12"/>
      <c r="E54" s="12"/>
      <c r="F54" s="13"/>
      <c r="G54" s="13"/>
      <c r="H54" s="12"/>
      <c r="I54" s="12"/>
      <c r="J54" s="12"/>
      <c r="K54" s="14"/>
      <c r="L54" s="15"/>
      <c r="M54" s="15"/>
      <c r="N54" s="15"/>
      <c r="O54" s="15"/>
      <c r="P54" s="15"/>
    </row>
    <row r="55" spans="2:16" ht="17.399999999999999" x14ac:dyDescent="0.3">
      <c r="B55" s="139" t="s">
        <v>50</v>
      </c>
      <c r="C55" s="7"/>
      <c r="D55" s="7"/>
      <c r="E55" s="7"/>
      <c r="F55" s="8"/>
      <c r="G55" s="8"/>
      <c r="H55" s="7"/>
      <c r="I55" s="7"/>
      <c r="J55" s="7"/>
      <c r="K55" s="9"/>
      <c r="L55" s="10"/>
      <c r="M55" s="10"/>
      <c r="N55" s="10"/>
      <c r="O55" s="10"/>
      <c r="P55" s="10"/>
    </row>
    <row r="56" spans="2:16" x14ac:dyDescent="0.3">
      <c r="B56" s="16"/>
      <c r="C56" s="16"/>
      <c r="D56" s="16"/>
      <c r="E56" s="16"/>
      <c r="F56" s="17"/>
      <c r="G56" s="18"/>
      <c r="H56" s="16"/>
      <c r="I56" s="16"/>
      <c r="J56" s="16"/>
      <c r="K56" s="19"/>
      <c r="L56" s="20" t="s">
        <v>0</v>
      </c>
      <c r="M56" s="21"/>
      <c r="N56" s="21"/>
      <c r="O56" s="21"/>
      <c r="P56" s="21"/>
    </row>
    <row r="57" spans="2:16" x14ac:dyDescent="0.3">
      <c r="B57" s="16"/>
      <c r="C57" s="16"/>
      <c r="D57" s="16"/>
      <c r="E57" s="16"/>
      <c r="F57" s="17"/>
      <c r="G57" s="22">
        <f>H57-1</f>
        <v>2021</v>
      </c>
      <c r="H57" s="23">
        <f>I57-1</f>
        <v>2022</v>
      </c>
      <c r="I57" s="24">
        <f>J57-1</f>
        <v>2023</v>
      </c>
      <c r="J57" s="24">
        <f>K57-1</f>
        <v>2024</v>
      </c>
      <c r="K57" s="25">
        <f>L57-1</f>
        <v>2025</v>
      </c>
      <c r="L57" s="26">
        <f>L34</f>
        <v>2026</v>
      </c>
      <c r="M57" s="26">
        <f>L57+1</f>
        <v>2027</v>
      </c>
      <c r="N57" s="26">
        <f t="shared" ref="N57:P57" si="16">M57+1</f>
        <v>2028</v>
      </c>
      <c r="O57" s="26">
        <f t="shared" si="16"/>
        <v>2029</v>
      </c>
      <c r="P57" s="26">
        <f t="shared" si="16"/>
        <v>2030</v>
      </c>
    </row>
    <row r="58" spans="2:16" x14ac:dyDescent="0.3">
      <c r="B58" s="27"/>
      <c r="C58" s="16"/>
      <c r="D58" s="16"/>
      <c r="E58" s="16"/>
      <c r="F58" s="28"/>
      <c r="G58" s="29"/>
      <c r="H58" s="30"/>
      <c r="I58" s="31"/>
      <c r="J58" s="31"/>
      <c r="K58" s="32"/>
      <c r="L58" s="33"/>
      <c r="M58" s="33"/>
      <c r="N58" s="33"/>
      <c r="O58" s="33"/>
      <c r="P58" s="33"/>
    </row>
    <row r="59" spans="2:16" x14ac:dyDescent="0.3">
      <c r="C59" s="16" t="s">
        <v>4</v>
      </c>
      <c r="D59" s="16"/>
      <c r="E59" s="16"/>
      <c r="F59" s="28"/>
      <c r="G59" s="34"/>
      <c r="H59" s="34"/>
      <c r="I59" s="34"/>
      <c r="J59" s="34"/>
      <c r="K59" s="35"/>
      <c r="L59" s="47">
        <f>L45</f>
        <v>131428.74858000001</v>
      </c>
      <c r="M59" s="47">
        <f t="shared" ref="M59:P59" si="17">M45</f>
        <v>186940.73691299997</v>
      </c>
      <c r="N59" s="47">
        <f t="shared" si="17"/>
        <v>230000.310015</v>
      </c>
      <c r="O59" s="47">
        <f t="shared" si="17"/>
        <v>260273.40372206247</v>
      </c>
      <c r="P59" s="47">
        <f t="shared" si="17"/>
        <v>281651.09601956251</v>
      </c>
    </row>
    <row r="60" spans="2:16" x14ac:dyDescent="0.3">
      <c r="B60" s="27"/>
      <c r="C60" s="16" t="s">
        <v>20</v>
      </c>
      <c r="D60" s="16"/>
      <c r="E60" s="16"/>
      <c r="F60" s="28"/>
      <c r="G60" s="34"/>
      <c r="H60" s="34"/>
      <c r="I60" s="34"/>
      <c r="J60" s="34"/>
      <c r="K60" s="35"/>
      <c r="L60" s="50">
        <f>L57-$L$57+0.5</f>
        <v>0.5</v>
      </c>
      <c r="M60" s="50">
        <f t="shared" ref="M60:P60" si="18">M57-$L$57+0.5</f>
        <v>1.5</v>
      </c>
      <c r="N60" s="50">
        <f t="shared" si="18"/>
        <v>2.5</v>
      </c>
      <c r="O60" s="50">
        <f t="shared" si="18"/>
        <v>3.5</v>
      </c>
      <c r="P60" s="50">
        <f t="shared" si="18"/>
        <v>4.5</v>
      </c>
    </row>
    <row r="61" spans="2:16" x14ac:dyDescent="0.3">
      <c r="B61" s="27"/>
      <c r="C61" s="16" t="s">
        <v>21</v>
      </c>
      <c r="D61" s="16"/>
      <c r="E61" s="16"/>
      <c r="F61" s="28"/>
      <c r="G61" s="34"/>
      <c r="H61" s="34"/>
      <c r="I61" s="34"/>
      <c r="J61" s="34"/>
      <c r="K61" s="35"/>
      <c r="L61" s="51">
        <f>1/(1+$L$16)^L60</f>
        <v>0.95346258924559224</v>
      </c>
      <c r="M61" s="51">
        <f t="shared" ref="M61:P61" si="19">1/(1+$L$16)^M60</f>
        <v>0.86678417204144742</v>
      </c>
      <c r="N61" s="51">
        <f t="shared" si="19"/>
        <v>0.78798561094677033</v>
      </c>
      <c r="O61" s="51">
        <f t="shared" si="19"/>
        <v>0.71635055540615489</v>
      </c>
      <c r="P61" s="51">
        <f t="shared" si="19"/>
        <v>0.65122777764195883</v>
      </c>
    </row>
    <row r="62" spans="2:16" x14ac:dyDescent="0.3">
      <c r="B62" s="27"/>
      <c r="C62" s="16" t="s">
        <v>22</v>
      </c>
      <c r="D62" s="16"/>
      <c r="E62" s="16"/>
      <c r="F62" s="28"/>
      <c r="G62" s="34"/>
      <c r="H62" s="34"/>
      <c r="I62" s="34"/>
      <c r="J62" s="34"/>
      <c r="K62" s="35"/>
      <c r="L62" s="47">
        <f>L61*L59</f>
        <v>125312.39492239477</v>
      </c>
      <c r="M62" s="47">
        <f t="shared" ref="M62:P62" si="20">M61*M59</f>
        <v>162037.27186595273</v>
      </c>
      <c r="N62" s="47">
        <f t="shared" si="20"/>
        <v>181236.93480511635</v>
      </c>
      <c r="O62" s="47">
        <f t="shared" si="20"/>
        <v>186446.99731374983</v>
      </c>
      <c r="P62" s="47">
        <f t="shared" si="20"/>
        <v>183419.01733124166</v>
      </c>
    </row>
    <row r="63" spans="2:16" x14ac:dyDescent="0.3">
      <c r="B63" s="16"/>
      <c r="C63" s="36" t="s">
        <v>23</v>
      </c>
      <c r="D63" s="16"/>
      <c r="E63" s="16"/>
      <c r="F63" s="28"/>
      <c r="G63" s="34"/>
      <c r="H63" s="34"/>
      <c r="I63" s="34"/>
      <c r="J63" s="34"/>
      <c r="K63" s="35"/>
      <c r="L63" s="140">
        <f>SUM(L62:P62)</f>
        <v>838452.6162384554</v>
      </c>
      <c r="M63" s="140"/>
      <c r="N63" s="140"/>
      <c r="O63" s="140"/>
      <c r="P63" s="140"/>
    </row>
    <row r="64" spans="2:16" x14ac:dyDescent="0.3">
      <c r="B64" s="16"/>
      <c r="C64" s="16"/>
      <c r="D64" s="16"/>
      <c r="E64" s="16"/>
      <c r="F64" s="28"/>
      <c r="G64" s="34"/>
      <c r="H64" s="34"/>
      <c r="I64" s="34"/>
      <c r="J64" s="34"/>
      <c r="K64" s="35"/>
      <c r="L64" s="52"/>
      <c r="M64" s="52"/>
      <c r="N64" s="52"/>
      <c r="O64" s="52"/>
      <c r="P64" s="52"/>
    </row>
    <row r="65" spans="2:16" x14ac:dyDescent="0.3">
      <c r="B65" s="16"/>
      <c r="C65" s="16"/>
      <c r="D65" s="16"/>
      <c r="E65" s="16"/>
      <c r="F65" s="28"/>
      <c r="G65" s="34"/>
      <c r="H65" s="34"/>
      <c r="I65" s="34"/>
      <c r="J65" s="34"/>
      <c r="K65" s="35"/>
      <c r="L65" s="52"/>
      <c r="M65" s="52"/>
      <c r="N65" s="52"/>
      <c r="O65" s="52"/>
      <c r="P65" s="52"/>
    </row>
    <row r="66" spans="2:16" x14ac:dyDescent="0.3">
      <c r="B66" s="36" t="s">
        <v>24</v>
      </c>
      <c r="C66" s="16"/>
      <c r="D66" s="16"/>
      <c r="E66" s="16"/>
      <c r="F66" s="28"/>
      <c r="G66" s="34"/>
      <c r="H66" s="34"/>
      <c r="I66" s="34"/>
      <c r="J66" s="34"/>
      <c r="K66" s="35"/>
      <c r="L66" s="52"/>
      <c r="M66" s="52"/>
      <c r="N66" s="52"/>
      <c r="O66" s="52"/>
      <c r="P66" s="52"/>
    </row>
    <row r="67" spans="2:16" x14ac:dyDescent="0.3">
      <c r="B67" s="36"/>
      <c r="C67" s="16"/>
      <c r="D67" s="16"/>
      <c r="E67" s="16"/>
      <c r="F67" s="28"/>
      <c r="G67" s="34"/>
      <c r="H67" s="34"/>
      <c r="I67" s="34"/>
      <c r="J67" s="34"/>
      <c r="K67" s="35"/>
      <c r="L67" s="52"/>
      <c r="M67" s="52"/>
      <c r="N67" s="52"/>
      <c r="O67" s="52"/>
      <c r="P67" s="52"/>
    </row>
    <row r="68" spans="2:16" x14ac:dyDescent="0.3">
      <c r="B68" s="16"/>
      <c r="C68" s="16" t="s">
        <v>25</v>
      </c>
      <c r="D68" s="16"/>
      <c r="E68" s="16"/>
      <c r="F68" s="53"/>
      <c r="G68" s="54"/>
      <c r="H68" s="54"/>
      <c r="I68" s="54"/>
      <c r="J68" s="54"/>
      <c r="K68" s="55"/>
      <c r="L68" s="52"/>
      <c r="M68" s="56"/>
      <c r="N68" s="56"/>
      <c r="O68" s="56"/>
      <c r="P68" s="56"/>
    </row>
    <row r="69" spans="2:16" x14ac:dyDescent="0.3">
      <c r="B69" s="16"/>
      <c r="C69" s="16" t="s">
        <v>26</v>
      </c>
      <c r="D69" s="16"/>
      <c r="E69" s="16"/>
      <c r="F69" s="28"/>
      <c r="G69" s="57">
        <f>L17</f>
        <v>0.03</v>
      </c>
      <c r="H69" s="30"/>
      <c r="I69" s="58"/>
      <c r="J69" s="59"/>
      <c r="K69" s="60"/>
      <c r="L69" s="61"/>
      <c r="M69" s="61"/>
      <c r="N69" s="61"/>
      <c r="O69" s="61"/>
      <c r="P69" s="61"/>
    </row>
    <row r="70" spans="2:16" x14ac:dyDescent="0.3">
      <c r="B70" s="62"/>
      <c r="C70" s="16" t="s">
        <v>27</v>
      </c>
      <c r="D70" s="63"/>
      <c r="E70" s="63"/>
      <c r="F70" s="64"/>
      <c r="G70" s="47">
        <f>P59</f>
        <v>281651.09601956251</v>
      </c>
      <c r="H70" s="65"/>
      <c r="I70" s="66"/>
      <c r="J70" s="66"/>
      <c r="K70" s="67"/>
      <c r="L70" s="68"/>
      <c r="M70" s="69"/>
      <c r="N70" s="69"/>
      <c r="O70" s="69"/>
      <c r="P70" s="69"/>
    </row>
    <row r="71" spans="2:16" x14ac:dyDescent="0.3">
      <c r="C71" s="36" t="s">
        <v>28</v>
      </c>
      <c r="G71" s="72">
        <f>((G70*(1+G69))/(L16-G69))</f>
        <v>4144294.6985735619</v>
      </c>
    </row>
    <row r="72" spans="2:16" x14ac:dyDescent="0.3">
      <c r="C72" s="36" t="s">
        <v>29</v>
      </c>
      <c r="G72" s="73">
        <f>G71/(1+L16)^P60</f>
        <v>2698879.8264454124</v>
      </c>
    </row>
    <row r="74" spans="2:16" x14ac:dyDescent="0.3">
      <c r="C74" s="16" t="s">
        <v>30</v>
      </c>
    </row>
    <row r="75" spans="2:16" x14ac:dyDescent="0.3">
      <c r="C75" s="16" t="s">
        <v>31</v>
      </c>
      <c r="G75" s="71">
        <f>L18</f>
        <v>30</v>
      </c>
    </row>
    <row r="76" spans="2:16" x14ac:dyDescent="0.3">
      <c r="C76" s="16" t="s">
        <v>32</v>
      </c>
      <c r="G76" s="47">
        <f>P38</f>
        <v>339370.86522281251</v>
      </c>
    </row>
    <row r="77" spans="2:16" x14ac:dyDescent="0.3">
      <c r="C77" s="36" t="s">
        <v>28</v>
      </c>
      <c r="G77" s="72">
        <f>G75*G76</f>
        <v>10181125.956684375</v>
      </c>
    </row>
    <row r="78" spans="2:16" x14ac:dyDescent="0.3">
      <c r="C78" s="36" t="s">
        <v>29</v>
      </c>
      <c r="G78" s="73">
        <f>G77/(1+L16)^P60</f>
        <v>6630232.0306644281</v>
      </c>
    </row>
    <row r="81" spans="2:16" x14ac:dyDescent="0.3">
      <c r="B81" s="74"/>
      <c r="C81" s="74"/>
      <c r="D81" s="74"/>
      <c r="E81" s="74"/>
      <c r="F81" s="74"/>
      <c r="G81" s="74"/>
      <c r="H81" s="74"/>
      <c r="I81" s="74"/>
      <c r="J81" s="74"/>
      <c r="K81" s="74"/>
      <c r="L81" s="74"/>
      <c r="M81" s="74"/>
      <c r="N81" s="74"/>
      <c r="O81" s="74"/>
      <c r="P81" s="74"/>
    </row>
    <row r="85" spans="2:16" ht="22.8" x14ac:dyDescent="0.4">
      <c r="B85" s="1" t="str">
        <f>B52</f>
        <v xml:space="preserve">NVIDIA CORPORATION </v>
      </c>
      <c r="C85" s="2"/>
      <c r="D85" s="2"/>
      <c r="E85" s="2"/>
      <c r="F85" s="3"/>
      <c r="G85" s="3"/>
      <c r="H85" s="2"/>
      <c r="I85" s="2"/>
      <c r="J85" s="2"/>
      <c r="K85" s="4"/>
      <c r="L85" s="5"/>
      <c r="M85" s="5"/>
      <c r="N85" s="5"/>
      <c r="O85" s="5"/>
      <c r="P85" s="5"/>
    </row>
    <row r="86" spans="2:16" ht="17.399999999999999" x14ac:dyDescent="0.3">
      <c r="B86" s="6" t="s">
        <v>33</v>
      </c>
      <c r="C86" s="7"/>
      <c r="D86" s="7"/>
      <c r="E86" s="7"/>
      <c r="F86" s="8"/>
      <c r="G86" s="8"/>
      <c r="H86" s="7"/>
      <c r="I86" s="7"/>
      <c r="J86" s="7"/>
      <c r="K86" s="9"/>
      <c r="L86" s="10"/>
      <c r="M86" s="10"/>
      <c r="N86" s="10"/>
      <c r="O86" s="10"/>
      <c r="P86" s="10"/>
    </row>
    <row r="87" spans="2:16" ht="18" thickBot="1" x14ac:dyDescent="0.35">
      <c r="B87" s="11"/>
      <c r="C87" s="12"/>
      <c r="D87" s="12"/>
      <c r="E87" s="12"/>
      <c r="F87" s="13"/>
      <c r="G87" s="13"/>
      <c r="H87" s="12"/>
      <c r="I87" s="12"/>
      <c r="J87" s="12"/>
      <c r="K87" s="14"/>
      <c r="L87" s="15"/>
      <c r="M87" s="15"/>
      <c r="N87" s="15"/>
      <c r="O87" s="15"/>
      <c r="P87" s="15"/>
    </row>
    <row r="88" spans="2:16" ht="17.399999999999999" x14ac:dyDescent="0.3">
      <c r="B88" s="139" t="s">
        <v>50</v>
      </c>
      <c r="C88" s="7"/>
      <c r="D88" s="7"/>
      <c r="E88" s="7"/>
      <c r="F88" s="8"/>
      <c r="G88" s="8"/>
      <c r="H88" s="7"/>
      <c r="I88" s="7"/>
      <c r="J88" s="7"/>
      <c r="K88" s="9"/>
      <c r="L88" s="10"/>
      <c r="M88" s="10"/>
      <c r="N88" s="10"/>
      <c r="O88" s="10"/>
      <c r="P88" s="10"/>
    </row>
    <row r="89" spans="2:16" x14ac:dyDescent="0.3">
      <c r="B89" s="16"/>
      <c r="C89" s="16"/>
      <c r="D89" s="16"/>
      <c r="E89" s="16"/>
      <c r="F89" s="17"/>
      <c r="G89" s="22"/>
      <c r="H89" s="23"/>
      <c r="I89" s="24"/>
      <c r="J89" s="24"/>
      <c r="K89" s="25"/>
      <c r="L89" s="75"/>
      <c r="M89" s="75"/>
      <c r="N89" s="75"/>
      <c r="O89" s="75"/>
      <c r="P89" s="75"/>
    </row>
    <row r="90" spans="2:16" x14ac:dyDescent="0.3">
      <c r="B90" s="36"/>
      <c r="C90" s="16"/>
      <c r="D90" s="16"/>
      <c r="E90" s="16"/>
      <c r="F90" s="17"/>
      <c r="G90" s="76" t="s">
        <v>34</v>
      </c>
      <c r="H90" s="76" t="s">
        <v>35</v>
      </c>
      <c r="I90" s="24"/>
      <c r="J90" s="24"/>
      <c r="K90" s="25"/>
      <c r="L90" s="75"/>
      <c r="M90" s="75"/>
      <c r="N90" s="75"/>
      <c r="O90" s="75"/>
      <c r="P90" s="75"/>
    </row>
    <row r="91" spans="2:16" x14ac:dyDescent="0.3">
      <c r="B91" s="16"/>
      <c r="C91" s="16" t="s">
        <v>36</v>
      </c>
      <c r="D91" s="16"/>
      <c r="E91" s="16"/>
      <c r="F91" s="17"/>
      <c r="G91" s="47">
        <f>L63</f>
        <v>838452.6162384554</v>
      </c>
      <c r="H91" s="47">
        <f>G91</f>
        <v>838452.6162384554</v>
      </c>
      <c r="I91" s="31"/>
      <c r="J91" s="31"/>
      <c r="K91" s="32"/>
      <c r="L91" s="77"/>
      <c r="M91" s="77"/>
      <c r="N91" s="77"/>
      <c r="O91" s="77"/>
      <c r="P91" s="77"/>
    </row>
    <row r="92" spans="2:16" x14ac:dyDescent="0.3">
      <c r="B92" s="78"/>
      <c r="C92" s="79" t="s">
        <v>29</v>
      </c>
      <c r="D92" s="79"/>
      <c r="E92" s="79"/>
      <c r="F92" s="80"/>
      <c r="G92" s="47">
        <f>G72</f>
        <v>2698879.8264454124</v>
      </c>
      <c r="H92" s="47">
        <f>G78</f>
        <v>6630232.0306644281</v>
      </c>
      <c r="I92" s="81"/>
      <c r="J92" s="81"/>
      <c r="K92" s="82"/>
      <c r="L92" s="33"/>
      <c r="M92" s="33"/>
      <c r="N92" s="33"/>
      <c r="O92" s="33"/>
      <c r="P92" s="33"/>
    </row>
    <row r="93" spans="2:16" x14ac:dyDescent="0.3">
      <c r="B93" s="78"/>
      <c r="C93" s="36" t="s">
        <v>37</v>
      </c>
      <c r="D93" s="79"/>
      <c r="E93" s="79"/>
      <c r="F93" s="80"/>
      <c r="G93" s="73">
        <f>G91+G92</f>
        <v>3537332.4426838676</v>
      </c>
      <c r="H93" s="73">
        <f>H91+H92</f>
        <v>7468684.6469028834</v>
      </c>
      <c r="I93" s="83"/>
      <c r="J93" s="83"/>
      <c r="K93" s="84"/>
      <c r="L93" s="85"/>
      <c r="M93" s="85"/>
      <c r="N93" s="85"/>
      <c r="O93" s="85"/>
      <c r="P93" s="85"/>
    </row>
    <row r="94" spans="2:16" x14ac:dyDescent="0.3">
      <c r="B94" s="78"/>
      <c r="C94" s="16" t="s">
        <v>38</v>
      </c>
      <c r="D94" s="79"/>
      <c r="E94" s="79"/>
      <c r="F94" s="80"/>
      <c r="G94" s="47">
        <f>L19</f>
        <v>-8461</v>
      </c>
      <c r="H94" s="47">
        <f>G94</f>
        <v>-8461</v>
      </c>
      <c r="I94" s="83"/>
      <c r="J94" s="83"/>
      <c r="K94" s="84"/>
      <c r="L94" s="85"/>
      <c r="M94" s="85"/>
      <c r="N94" s="85"/>
      <c r="O94" s="85"/>
      <c r="P94" s="85"/>
    </row>
    <row r="95" spans="2:16" x14ac:dyDescent="0.3">
      <c r="B95" s="86"/>
      <c r="C95" s="16" t="s">
        <v>39</v>
      </c>
      <c r="D95" s="62"/>
      <c r="E95" s="62"/>
      <c r="F95" s="87"/>
      <c r="G95" s="47">
        <f>L20</f>
        <v>43238</v>
      </c>
      <c r="H95" s="47">
        <f>G95</f>
        <v>43238</v>
      </c>
      <c r="I95" s="83"/>
      <c r="J95" s="83"/>
      <c r="K95" s="84"/>
      <c r="L95" s="88"/>
      <c r="M95" s="88"/>
      <c r="N95" s="88"/>
      <c r="O95" s="88"/>
      <c r="P95" s="88"/>
    </row>
    <row r="96" spans="2:16" x14ac:dyDescent="0.3">
      <c r="B96" s="36"/>
      <c r="C96" s="16" t="s">
        <v>40</v>
      </c>
      <c r="D96" s="62"/>
      <c r="E96" s="62"/>
      <c r="F96" s="87"/>
      <c r="G96" s="47">
        <f>L21</f>
        <v>0</v>
      </c>
      <c r="H96" s="47">
        <f>G96</f>
        <v>0</v>
      </c>
      <c r="I96" s="83"/>
      <c r="J96" s="83"/>
      <c r="K96" s="84"/>
      <c r="L96" s="88"/>
      <c r="M96" s="88"/>
      <c r="N96" s="88"/>
      <c r="O96" s="88"/>
      <c r="P96" s="88"/>
    </row>
    <row r="97" spans="2:16" x14ac:dyDescent="0.3">
      <c r="B97" s="62"/>
      <c r="C97" s="36" t="s">
        <v>41</v>
      </c>
      <c r="D97" s="62"/>
      <c r="E97" s="62"/>
      <c r="F97" s="87"/>
      <c r="G97" s="73">
        <f>SUM(G93:G96)</f>
        <v>3572109.4426838676</v>
      </c>
      <c r="H97" s="73">
        <f>SUM(H93:H96)</f>
        <v>7503461.6469028834</v>
      </c>
      <c r="I97" s="83"/>
      <c r="J97" s="83"/>
      <c r="K97" s="84"/>
      <c r="L97" s="88"/>
      <c r="M97" s="88"/>
      <c r="N97" s="88"/>
      <c r="O97" s="88"/>
      <c r="P97" s="88"/>
    </row>
    <row r="98" spans="2:16" x14ac:dyDescent="0.3">
      <c r="B98" s="62"/>
      <c r="C98" s="16" t="s">
        <v>42</v>
      </c>
      <c r="D98" s="62"/>
      <c r="E98" s="62"/>
      <c r="F98" s="87"/>
      <c r="G98" s="47">
        <f>L22</f>
        <v>24430</v>
      </c>
      <c r="H98" s="47">
        <f>G98</f>
        <v>24430</v>
      </c>
      <c r="I98" s="83"/>
      <c r="J98" s="83"/>
      <c r="K98" s="84"/>
      <c r="L98" s="88"/>
      <c r="M98" s="88"/>
      <c r="N98" s="88"/>
      <c r="O98" s="88"/>
      <c r="P98" s="88"/>
    </row>
    <row r="99" spans="2:16" x14ac:dyDescent="0.3">
      <c r="B99" s="62"/>
      <c r="C99" s="36" t="s">
        <v>43</v>
      </c>
      <c r="D99" s="62"/>
      <c r="E99" s="62"/>
      <c r="F99" s="87"/>
      <c r="G99" s="106">
        <f>G97/G98</f>
        <v>146.2181515629909</v>
      </c>
      <c r="H99" s="106">
        <f>H97/H98</f>
        <v>307.14128722484173</v>
      </c>
      <c r="I99" s="83"/>
      <c r="J99" s="83"/>
      <c r="K99" s="84"/>
      <c r="L99" s="88"/>
      <c r="M99" s="88"/>
      <c r="N99" s="88"/>
      <c r="O99" s="88"/>
      <c r="P99" s="88"/>
    </row>
    <row r="100" spans="2:16" x14ac:dyDescent="0.3">
      <c r="B100" s="62"/>
      <c r="C100" s="16" t="s">
        <v>44</v>
      </c>
      <c r="D100" s="62"/>
      <c r="E100" s="62"/>
      <c r="F100" s="87"/>
      <c r="G100" s="107">
        <f>L23</f>
        <v>178.68</v>
      </c>
      <c r="H100" s="107">
        <f>G100</f>
        <v>178.68</v>
      </c>
      <c r="I100" s="83"/>
      <c r="J100" s="83"/>
      <c r="K100" s="84"/>
      <c r="L100" s="88"/>
      <c r="M100" s="88"/>
      <c r="N100" s="88"/>
      <c r="O100" s="88"/>
      <c r="P100" s="88"/>
    </row>
    <row r="101" spans="2:16" x14ac:dyDescent="0.3">
      <c r="B101" s="36"/>
      <c r="C101" s="16" t="s">
        <v>45</v>
      </c>
      <c r="D101" s="62"/>
      <c r="E101" s="62"/>
      <c r="F101" s="87"/>
      <c r="G101" s="89">
        <f>G99/G100-1</f>
        <v>-0.18167589230472969</v>
      </c>
      <c r="H101" s="89">
        <f>H99/H100-1</f>
        <v>0.71894608923685754</v>
      </c>
      <c r="I101" s="90"/>
      <c r="J101" s="90"/>
      <c r="K101" s="91"/>
      <c r="L101" s="85"/>
      <c r="M101" s="85"/>
      <c r="N101" s="85"/>
      <c r="O101" s="85"/>
      <c r="P101" s="85"/>
    </row>
    <row r="102" spans="2:16" x14ac:dyDescent="0.3">
      <c r="B102" s="92"/>
      <c r="C102" s="62"/>
      <c r="D102" s="62"/>
      <c r="E102" s="62"/>
      <c r="F102" s="87"/>
      <c r="G102" s="93"/>
      <c r="H102" s="93"/>
      <c r="I102" s="93"/>
      <c r="J102" s="93"/>
      <c r="K102" s="94"/>
      <c r="L102" s="95"/>
      <c r="M102" s="95"/>
      <c r="N102" s="95"/>
      <c r="O102" s="95"/>
      <c r="P102" s="95"/>
    </row>
    <row r="103" spans="2:16" x14ac:dyDescent="0.3">
      <c r="B103" s="92"/>
      <c r="C103" s="62"/>
      <c r="D103" s="62"/>
      <c r="E103" s="62"/>
      <c r="F103" s="87"/>
      <c r="G103" s="93"/>
      <c r="H103" s="93"/>
      <c r="I103" s="93"/>
      <c r="J103" s="93"/>
      <c r="K103" s="94"/>
      <c r="L103" s="95"/>
      <c r="M103" s="95"/>
      <c r="N103" s="95"/>
      <c r="O103" s="95"/>
      <c r="P103" s="95"/>
    </row>
    <row r="104" spans="2:16" x14ac:dyDescent="0.3">
      <c r="B104" s="96"/>
      <c r="C104" s="40"/>
      <c r="D104" s="40"/>
      <c r="E104" s="40"/>
      <c r="F104" s="97"/>
      <c r="G104" s="98"/>
      <c r="H104" s="98"/>
      <c r="I104" s="98"/>
      <c r="J104" s="98"/>
      <c r="K104" s="99"/>
      <c r="L104" s="100"/>
      <c r="M104" s="100"/>
      <c r="N104" s="100"/>
      <c r="O104" s="100"/>
      <c r="P104" s="100"/>
    </row>
    <row r="108" spans="2:16" ht="22.8" x14ac:dyDescent="0.4">
      <c r="B108" s="1" t="str">
        <f>B85</f>
        <v xml:space="preserve">NVIDIA CORPORATION </v>
      </c>
      <c r="C108" s="2"/>
      <c r="D108" s="2"/>
      <c r="E108" s="2"/>
      <c r="F108" s="3"/>
      <c r="G108" s="3"/>
      <c r="H108" s="2"/>
      <c r="I108" s="2"/>
      <c r="J108" s="2"/>
      <c r="K108" s="4"/>
      <c r="L108" s="5"/>
      <c r="M108" s="5"/>
      <c r="N108" s="5"/>
      <c r="O108" s="5"/>
      <c r="P108" s="5"/>
    </row>
    <row r="109" spans="2:16" ht="17.399999999999999" x14ac:dyDescent="0.3">
      <c r="B109" s="6" t="s">
        <v>46</v>
      </c>
      <c r="C109" s="7"/>
      <c r="D109" s="7"/>
      <c r="E109" s="7"/>
      <c r="F109" s="8"/>
      <c r="G109" s="8"/>
      <c r="H109" s="7"/>
      <c r="I109" s="7"/>
      <c r="J109" s="7"/>
      <c r="K109" s="9"/>
      <c r="L109" s="10"/>
      <c r="M109" s="10"/>
      <c r="N109" s="10"/>
      <c r="O109" s="10"/>
      <c r="P109" s="10"/>
    </row>
    <row r="110" spans="2:16" ht="18" thickBot="1" x14ac:dyDescent="0.35">
      <c r="B110" s="11"/>
      <c r="C110" s="12"/>
      <c r="D110" s="12"/>
      <c r="E110" s="12"/>
      <c r="F110" s="13"/>
      <c r="G110" s="13"/>
      <c r="H110" s="12"/>
      <c r="I110" s="12"/>
      <c r="J110" s="12"/>
      <c r="K110" s="14"/>
      <c r="L110" s="15"/>
      <c r="M110" s="15"/>
      <c r="N110" s="15"/>
      <c r="O110" s="15"/>
      <c r="P110" s="15"/>
    </row>
    <row r="111" spans="2:16" ht="17.399999999999999" x14ac:dyDescent="0.3">
      <c r="B111" s="7"/>
      <c r="C111" s="7"/>
      <c r="D111" s="7"/>
      <c r="E111" s="7"/>
      <c r="F111" s="8"/>
      <c r="G111" s="8"/>
      <c r="H111" s="7"/>
      <c r="I111" s="7"/>
      <c r="J111" s="7"/>
      <c r="K111" s="9"/>
      <c r="L111" s="10"/>
      <c r="M111" s="10"/>
      <c r="N111" s="10"/>
      <c r="O111" s="10"/>
      <c r="P111" s="10"/>
    </row>
    <row r="112" spans="2:16" x14ac:dyDescent="0.3">
      <c r="B112" s="108"/>
      <c r="C112" s="108"/>
      <c r="D112" s="108"/>
      <c r="E112" s="108"/>
      <c r="F112" s="109"/>
      <c r="G112" s="110"/>
      <c r="H112" s="111"/>
      <c r="I112" s="25"/>
      <c r="J112" s="25"/>
      <c r="K112" s="25"/>
      <c r="L112" s="75"/>
      <c r="M112" s="75"/>
      <c r="N112" s="75"/>
      <c r="O112" s="75"/>
      <c r="P112" s="75"/>
    </row>
    <row r="113" spans="2:16" x14ac:dyDescent="0.3">
      <c r="B113" s="112"/>
      <c r="C113" s="113"/>
      <c r="D113" s="113"/>
      <c r="E113" s="113"/>
      <c r="F113" s="114"/>
      <c r="G113" s="115"/>
      <c r="H113" s="115"/>
      <c r="I113" s="25"/>
      <c r="J113" s="25"/>
      <c r="K113" s="25"/>
      <c r="L113" s="75"/>
      <c r="M113" s="75"/>
      <c r="N113" s="75"/>
      <c r="O113" s="75"/>
      <c r="P113" s="75"/>
    </row>
    <row r="114" spans="2:16" x14ac:dyDescent="0.3">
      <c r="B114" s="108"/>
      <c r="C114" s="113"/>
      <c r="D114" s="113"/>
      <c r="E114" s="113"/>
      <c r="F114" s="114"/>
      <c r="G114" s="52"/>
      <c r="H114" s="52"/>
      <c r="I114" s="116"/>
      <c r="J114" s="116"/>
      <c r="K114" s="116"/>
      <c r="L114" s="77"/>
      <c r="M114" s="77"/>
      <c r="N114" s="77"/>
      <c r="O114" s="77"/>
      <c r="P114" s="77"/>
    </row>
    <row r="115" spans="2:16" x14ac:dyDescent="0.3">
      <c r="B115" s="117"/>
      <c r="C115" s="113"/>
      <c r="D115" s="113"/>
      <c r="E115" s="113"/>
      <c r="F115" s="118"/>
      <c r="G115" s="52"/>
      <c r="H115" s="52"/>
      <c r="L115" s="119"/>
      <c r="M115" s="119"/>
      <c r="N115" s="120" t="s">
        <v>11</v>
      </c>
      <c r="O115" s="33"/>
      <c r="P115" s="33"/>
    </row>
    <row r="116" spans="2:16" x14ac:dyDescent="0.3">
      <c r="B116" s="117"/>
      <c r="C116" s="121" t="s">
        <v>47</v>
      </c>
      <c r="D116" s="113"/>
      <c r="E116" s="113"/>
      <c r="G116" s="57">
        <v>0.01</v>
      </c>
      <c r="H116" s="122"/>
      <c r="K116" s="123"/>
      <c r="L116" s="124">
        <f>M116-G116</f>
        <v>8.0000000000000016E-2</v>
      </c>
      <c r="M116" s="124">
        <f>N116-G116</f>
        <v>9.0000000000000011E-2</v>
      </c>
      <c r="N116" s="124">
        <f>L16</f>
        <v>0.1</v>
      </c>
      <c r="O116" s="124">
        <f>N116+G116</f>
        <v>0.11</v>
      </c>
      <c r="P116" s="124">
        <f>O116+G116</f>
        <v>0.12</v>
      </c>
    </row>
    <row r="117" spans="2:16" x14ac:dyDescent="0.3">
      <c r="B117" s="117"/>
      <c r="C117" s="121" t="s">
        <v>48</v>
      </c>
      <c r="D117" s="113"/>
      <c r="E117" s="113"/>
      <c r="F117" s="118"/>
      <c r="G117" s="57">
        <v>0.01</v>
      </c>
      <c r="H117" s="52"/>
      <c r="I117" s="125"/>
      <c r="J117" s="125"/>
      <c r="K117" s="126">
        <f>K118-G117</f>
        <v>9.9999999999999967E-3</v>
      </c>
      <c r="L117" s="52">
        <f>IFERROR(($L$59/(1+L116)^0.5+$M$59/(1+L116)^1.5+$N$59/(1+L116)^2.5+$O$59/(1+L116)^3.5+$P$59/(1+L116)^4.5+($P$59*(1+$K$117)/(L116-$K$117))/(1+L116)^4.5+($G$94+$G$95+$G$96))/$G$98,"N/A")</f>
        <v>155.13061062933417</v>
      </c>
      <c r="M117" s="52">
        <f t="shared" ref="M117:P117" si="21">IFERROR(($L$59/(1+M116)^0.5+$M$59/(1+M116)^1.5+$N$59/(1+M116)^2.5+$O$59/(1+M116)^3.5+$P$59/(1+M116)^4.5+($P$59*(1+$K$117)/(M116-$K$117))/(1+M116)^4.5+($G$94+$G$95+$G$96))/$G$98,"N/A")</f>
        <v>135.35762650567827</v>
      </c>
      <c r="N117" s="52">
        <f t="shared" si="21"/>
        <v>119.9999422231387</v>
      </c>
      <c r="O117" s="52">
        <f t="shared" si="21"/>
        <v>107.73216344382968</v>
      </c>
      <c r="P117" s="52">
        <f t="shared" si="21"/>
        <v>97.710894708369082</v>
      </c>
    </row>
    <row r="118" spans="2:16" x14ac:dyDescent="0.3">
      <c r="B118" s="127"/>
      <c r="C118" s="113" t="s">
        <v>49</v>
      </c>
      <c r="D118" s="113"/>
      <c r="E118" s="113"/>
      <c r="F118" s="118"/>
      <c r="G118" s="71">
        <v>5</v>
      </c>
      <c r="H118" s="52"/>
      <c r="I118" s="125"/>
      <c r="J118" s="125"/>
      <c r="K118" s="128">
        <f>K119-G117</f>
        <v>1.9999999999999997E-2</v>
      </c>
      <c r="L118" s="52">
        <f>IFERROR(($L$59/(1+L116)^0.5+$M$59/(1+L116)^1.5+$N$59/(1+L116)^2.5+$O$59/(1+L116)^3.5+$P$59/(1+L116)^4.5+($P$59*(1+$K$118)/(L116-$K$118))/(1+L116)^4.5+($G$94+$G$95+$G$96))/$G$98,"N/A")</f>
        <v>176.0985399504066</v>
      </c>
      <c r="M118" s="52">
        <f t="shared" ref="M118:P118" si="22">IFERROR(($L$59/(1+M116)^0.5+$M$59/(1+M116)^1.5+$N$59/(1+M116)^2.5+$O$59/(1+M116)^3.5+$P$59/(1+M116)^4.5+($P$59*(1+$K$118)/(M116-$K$118))/(1+M116)^4.5+($G$94+$G$95+$G$96))/$G$98,"N/A")</f>
        <v>150.58437620689025</v>
      </c>
      <c r="N118" s="52">
        <f t="shared" si="22"/>
        <v>131.47040880932403</v>
      </c>
      <c r="O118" s="52">
        <f t="shared" si="22"/>
        <v>116.62243533961094</v>
      </c>
      <c r="P118" s="52">
        <f t="shared" si="22"/>
        <v>104.75997105168634</v>
      </c>
    </row>
    <row r="119" spans="2:16" x14ac:dyDescent="0.3">
      <c r="B119" s="112"/>
      <c r="C119" s="113"/>
      <c r="D119" s="113"/>
      <c r="E119" s="113"/>
      <c r="F119" s="118"/>
      <c r="G119" s="52"/>
      <c r="H119" s="52"/>
      <c r="I119" s="129" t="s">
        <v>12</v>
      </c>
      <c r="J119" s="125"/>
      <c r="K119" s="128">
        <f>G69</f>
        <v>0.03</v>
      </c>
      <c r="L119" s="52">
        <f>IFERROR(($L$59/(1+L$116)^0.5+$M$59/(1+L$116)^1.5+$N$59/(1+L$116)^2.5+$O$59/(1+L$116)^3.5+$P$59/(1+L$116)^4.5+($P$59*(1+$K119)/(L$116-$K119))/(1+L$116)^4.5+($G$94+$G$95+$G$96))/$G$98,"N/A")</f>
        <v>205.45364099990803</v>
      </c>
      <c r="M119" s="52">
        <f t="shared" ref="M119:P119" si="23">IFERROR(($L$59/(1+M$116)^0.5+$M$59/(1+M$116)^1.5+$N$59/(1+M$116)^2.5+$O$59/(1+M$116)^3.5+$P$59/(1+M$116)^4.5+($P$59*(1+$K119)/(M$116-$K119))/(1+M$116)^4.5+($G$94+$G$95+$G$96))/$G$98,"N/A")</f>
        <v>170.8867091418395</v>
      </c>
      <c r="N119" s="70">
        <f t="shared" si="23"/>
        <v>146.2181515629909</v>
      </c>
      <c r="O119" s="52">
        <f t="shared" si="23"/>
        <v>127.73527520933752</v>
      </c>
      <c r="P119" s="52">
        <f t="shared" si="23"/>
        <v>113.37550880462965</v>
      </c>
    </row>
    <row r="120" spans="2:16" x14ac:dyDescent="0.3">
      <c r="B120" s="113"/>
      <c r="C120" s="130"/>
      <c r="D120" s="113"/>
      <c r="E120" s="113"/>
      <c r="F120" s="118"/>
      <c r="G120" s="122"/>
      <c r="H120" s="122"/>
      <c r="I120" s="129"/>
      <c r="J120" s="125"/>
      <c r="K120" s="128">
        <f>K119+G117</f>
        <v>0.04</v>
      </c>
      <c r="L120" s="52">
        <f t="shared" ref="L120:P121" si="24">IFERROR(($L$59/(1+L$116)^0.5+$M$59/(1+L$116)^1.5+$N$59/(1+L$116)^2.5+$O$59/(1+L$116)^3.5+$P$59/(1+L$116)^4.5+($P$59*(1+$K120)/(L$116-$K120))/(1+L$116)^4.5+($G$94+$G$95+$G$96))/$G$98,"N/A")</f>
        <v>249.48629257416016</v>
      </c>
      <c r="M120" s="52">
        <f t="shared" si="24"/>
        <v>199.30997525076856</v>
      </c>
      <c r="N120" s="52">
        <f t="shared" si="24"/>
        <v>165.88180856788006</v>
      </c>
      <c r="O120" s="52">
        <f t="shared" si="24"/>
        <v>142.02321218470024</v>
      </c>
      <c r="P120" s="52">
        <f t="shared" si="24"/>
        <v>124.14493099580881</v>
      </c>
    </row>
    <row r="121" spans="2:16" x14ac:dyDescent="0.3">
      <c r="B121" s="113"/>
      <c r="C121" s="113"/>
      <c r="D121" s="113"/>
      <c r="E121" s="113"/>
      <c r="F121" s="118"/>
      <c r="G121" s="52"/>
      <c r="H121" s="52"/>
      <c r="I121" s="129"/>
      <c r="J121" s="125"/>
      <c r="K121" s="128">
        <f>K120+G117</f>
        <v>0.05</v>
      </c>
      <c r="L121" s="52">
        <f t="shared" si="24"/>
        <v>322.87404519791369</v>
      </c>
      <c r="M121" s="52">
        <f t="shared" si="24"/>
        <v>241.94487441416206</v>
      </c>
      <c r="N121" s="52">
        <f t="shared" si="24"/>
        <v>193.41092837472496</v>
      </c>
      <c r="O121" s="52">
        <f t="shared" si="24"/>
        <v>161.07379481851726</v>
      </c>
      <c r="P121" s="52">
        <f t="shared" si="24"/>
        <v>137.99133095589627</v>
      </c>
    </row>
    <row r="122" spans="2:16" x14ac:dyDescent="0.3">
      <c r="B122" s="113"/>
      <c r="C122" s="130"/>
      <c r="D122" s="113"/>
      <c r="E122" s="113"/>
      <c r="F122" s="118"/>
      <c r="G122" s="122"/>
      <c r="H122" s="122"/>
      <c r="I122" s="129"/>
      <c r="J122" s="125"/>
      <c r="K122" s="125"/>
      <c r="L122" s="88"/>
      <c r="M122" s="88"/>
      <c r="N122" s="88"/>
      <c r="O122" s="88"/>
      <c r="P122" s="88"/>
    </row>
    <row r="123" spans="2:16" x14ac:dyDescent="0.3">
      <c r="B123" s="113"/>
      <c r="C123" s="113"/>
      <c r="D123" s="113"/>
      <c r="E123" s="113"/>
      <c r="F123" s="118"/>
      <c r="G123" s="52"/>
      <c r="H123" s="52"/>
      <c r="I123" s="129"/>
      <c r="J123" s="125"/>
      <c r="K123" s="125"/>
      <c r="L123" s="88"/>
      <c r="M123" s="88"/>
      <c r="N123" s="88"/>
      <c r="O123" s="88"/>
      <c r="P123" s="88"/>
    </row>
    <row r="124" spans="2:16" x14ac:dyDescent="0.3">
      <c r="B124" s="113"/>
      <c r="C124" s="113"/>
      <c r="D124" s="113"/>
      <c r="E124" s="113"/>
      <c r="F124" s="118"/>
      <c r="G124" s="52"/>
      <c r="H124" s="52"/>
      <c r="I124" s="129"/>
      <c r="J124" s="125"/>
      <c r="L124" s="119"/>
      <c r="M124" s="119"/>
      <c r="N124" s="120" t="s">
        <v>11</v>
      </c>
      <c r="O124" s="33"/>
      <c r="P124" s="33"/>
    </row>
    <row r="125" spans="2:16" x14ac:dyDescent="0.3">
      <c r="B125" s="113"/>
      <c r="C125" s="113"/>
      <c r="D125" s="113"/>
      <c r="E125" s="113"/>
      <c r="F125" s="118"/>
      <c r="G125" s="52"/>
      <c r="H125" s="52"/>
      <c r="I125" s="129"/>
      <c r="J125" s="125"/>
      <c r="K125" s="123"/>
      <c r="L125" s="124">
        <f>L116</f>
        <v>8.0000000000000016E-2</v>
      </c>
      <c r="M125" s="124">
        <f t="shared" ref="M125:P125" si="25">M116</f>
        <v>9.0000000000000011E-2</v>
      </c>
      <c r="N125" s="124">
        <f t="shared" si="25"/>
        <v>0.1</v>
      </c>
      <c r="O125" s="124">
        <f t="shared" si="25"/>
        <v>0.11</v>
      </c>
      <c r="P125" s="124">
        <f t="shared" si="25"/>
        <v>0.12</v>
      </c>
    </row>
    <row r="126" spans="2:16" x14ac:dyDescent="0.3">
      <c r="B126" s="113"/>
      <c r="C126" s="113"/>
      <c r="D126" s="113"/>
      <c r="E126" s="113"/>
      <c r="F126" s="118"/>
      <c r="G126" s="52"/>
      <c r="H126" s="52"/>
      <c r="I126" s="129"/>
      <c r="J126" s="125"/>
      <c r="K126" s="131">
        <f>K127-G118</f>
        <v>20</v>
      </c>
      <c r="L126" s="132">
        <f>(($L$59/(1+L$125)^0.5+$M$59/(1+L$125)^1.5+$N$59/(1+L$125)^2.5+$O$59/(1+L$125)^3.5+$P$59/(1+L$125)^4.5+($K126*$G$76)/(1+L$125)^4.5+($G$94+$G$95+$G$96))/$G$98)</f>
        <v>233.98249157711172</v>
      </c>
      <c r="M126" s="132">
        <f t="shared" ref="M126:P126" si="26">(($L$59/(1+M$125)^0.5+$M$59/(1+M$125)^1.5+$N$59/(1+M$125)^2.5+$O$59/(1+M$125)^3.5+$P$59/(1+M$125)^4.5+($K126*$G$76)/(1+M$125)^4.5+($G$94+$G$95+$G$96))/$G$98)</f>
        <v>225.11521129541921</v>
      </c>
      <c r="N126" s="132">
        <f t="shared" si="26"/>
        <v>216.67557524961418</v>
      </c>
      <c r="O126" s="132">
        <f t="shared" si="26"/>
        <v>208.63918871191584</v>
      </c>
      <c r="P126" s="132">
        <f t="shared" si="26"/>
        <v>200.98325487299243</v>
      </c>
    </row>
    <row r="127" spans="2:16" x14ac:dyDescent="0.3">
      <c r="B127" s="113"/>
      <c r="C127" s="113"/>
      <c r="D127" s="113"/>
      <c r="E127" s="113"/>
      <c r="F127" s="118"/>
      <c r="G127" s="52"/>
      <c r="H127" s="52"/>
      <c r="I127" s="129"/>
      <c r="J127" s="125"/>
      <c r="K127" s="133">
        <f>K128-G118</f>
        <v>25</v>
      </c>
      <c r="L127" s="132">
        <f t="shared" ref="L127:P130" si="27">(($L$59/(1+L$125)^0.5+$M$59/(1+L$125)^1.5+$N$59/(1+L$125)^2.5+$O$59/(1+L$125)^3.5+$P$59/(1+L$125)^4.5+($K127*$G$76)/(1+L$125)^4.5+($G$94+$G$95+$G$96))/$G$98)</f>
        <v>283.10880711167164</v>
      </c>
      <c r="M127" s="132">
        <f t="shared" si="27"/>
        <v>272.24569015055363</v>
      </c>
      <c r="N127" s="132">
        <f t="shared" si="27"/>
        <v>261.90843123722794</v>
      </c>
      <c r="O127" s="132">
        <f t="shared" si="27"/>
        <v>252.06697465340849</v>
      </c>
      <c r="P127" s="132">
        <f t="shared" si="27"/>
        <v>242.69323577743049</v>
      </c>
    </row>
    <row r="128" spans="2:16" x14ac:dyDescent="0.3">
      <c r="B128" s="113"/>
      <c r="C128" s="113"/>
      <c r="D128" s="113"/>
      <c r="E128" s="113"/>
      <c r="F128" s="118"/>
      <c r="G128" s="52"/>
      <c r="H128" s="52"/>
      <c r="I128" s="129" t="s">
        <v>35</v>
      </c>
      <c r="J128" s="134"/>
      <c r="K128" s="133">
        <f>G75</f>
        <v>30</v>
      </c>
      <c r="L128" s="132">
        <f t="shared" si="27"/>
        <v>332.2351226462315</v>
      </c>
      <c r="M128" s="132">
        <f t="shared" si="27"/>
        <v>319.3761690056881</v>
      </c>
      <c r="N128" s="70">
        <f t="shared" si="27"/>
        <v>307.14128722484173</v>
      </c>
      <c r="O128" s="132">
        <f t="shared" si="27"/>
        <v>295.49476059490109</v>
      </c>
      <c r="P128" s="132">
        <f t="shared" si="27"/>
        <v>284.40321668186851</v>
      </c>
    </row>
    <row r="129" spans="2:16" x14ac:dyDescent="0.3">
      <c r="B129" s="113"/>
      <c r="C129" s="113"/>
      <c r="D129" s="113"/>
      <c r="E129" s="113"/>
      <c r="F129" s="118"/>
      <c r="G129" s="52"/>
      <c r="H129" s="52"/>
      <c r="I129" s="125"/>
      <c r="J129" s="125"/>
      <c r="K129" s="133">
        <f>K128+G118</f>
        <v>35</v>
      </c>
      <c r="L129" s="132">
        <f t="shared" si="27"/>
        <v>381.36143818079137</v>
      </c>
      <c r="M129" s="132">
        <f t="shared" si="27"/>
        <v>366.50664786082251</v>
      </c>
      <c r="N129" s="132">
        <f t="shared" si="27"/>
        <v>352.37414321245552</v>
      </c>
      <c r="O129" s="132">
        <f t="shared" si="27"/>
        <v>338.92254653639372</v>
      </c>
      <c r="P129" s="132">
        <f t="shared" si="27"/>
        <v>326.11319758630657</v>
      </c>
    </row>
    <row r="130" spans="2:16" x14ac:dyDescent="0.3">
      <c r="B130" s="112"/>
      <c r="C130" s="113"/>
      <c r="D130" s="113"/>
      <c r="E130" s="113"/>
      <c r="F130" s="118"/>
      <c r="G130" s="135"/>
      <c r="H130" s="135"/>
      <c r="I130" s="91"/>
      <c r="J130" s="91"/>
      <c r="K130" s="133">
        <f>K129+G118</f>
        <v>40</v>
      </c>
      <c r="L130" s="132">
        <f t="shared" si="27"/>
        <v>430.48775371535135</v>
      </c>
      <c r="M130" s="132">
        <f t="shared" si="27"/>
        <v>413.63712671595698</v>
      </c>
      <c r="N130" s="132">
        <f t="shared" si="27"/>
        <v>397.60699920006937</v>
      </c>
      <c r="O130" s="132">
        <f t="shared" si="27"/>
        <v>382.35033247788641</v>
      </c>
      <c r="P130" s="132">
        <f t="shared" si="27"/>
        <v>367.82317849074462</v>
      </c>
    </row>
    <row r="131" spans="2:16" x14ac:dyDescent="0.3">
      <c r="B131" s="130"/>
      <c r="C131" s="113"/>
      <c r="D131" s="113"/>
      <c r="E131" s="113"/>
      <c r="F131" s="118"/>
      <c r="G131" s="94"/>
      <c r="H131" s="94"/>
      <c r="I131" s="94"/>
      <c r="J131" s="94"/>
      <c r="K131" s="94"/>
      <c r="L131" s="95"/>
      <c r="M131" s="95"/>
      <c r="N131" s="95"/>
      <c r="O131" s="95"/>
      <c r="P131" s="95"/>
    </row>
    <row r="132" spans="2:16" x14ac:dyDescent="0.3">
      <c r="B132" s="130"/>
      <c r="C132" s="113"/>
      <c r="D132" s="113"/>
      <c r="E132" s="113"/>
      <c r="F132" s="118"/>
      <c r="G132" s="94"/>
      <c r="H132" s="94"/>
      <c r="I132" s="94"/>
      <c r="J132" s="94"/>
      <c r="K132" s="94"/>
      <c r="L132" s="95"/>
      <c r="M132" s="95"/>
      <c r="N132" s="95"/>
      <c r="O132" s="95"/>
      <c r="P132" s="95"/>
    </row>
    <row r="133" spans="2:16" x14ac:dyDescent="0.3">
      <c r="B133" s="136"/>
      <c r="C133" s="137"/>
      <c r="D133" s="137"/>
      <c r="E133" s="137"/>
      <c r="F133" s="138"/>
      <c r="G133" s="99"/>
      <c r="H133" s="99"/>
      <c r="I133" s="99"/>
      <c r="J133" s="99"/>
      <c r="K133" s="99"/>
      <c r="L133" s="100"/>
      <c r="M133" s="100"/>
      <c r="N133" s="100"/>
      <c r="O133" s="100"/>
      <c r="P133" s="100"/>
    </row>
    <row r="1005" spans="25:25" x14ac:dyDescent="0.3">
      <c r="Y1005" s="141" t="s">
        <v>54</v>
      </c>
    </row>
  </sheetData>
  <mergeCells count="1">
    <mergeCell ref="L63:P63"/>
  </mergeCells>
  <pageMargins left="0.7" right="0.7" top="0.75" bottom="0.75" header="0.3" footer="0.3"/>
  <pageSetup paperSize="9" orientation="portrait" r:id="rId1"/>
  <ignoredErrors>
    <ignoredError sqref="H97" formula="1"/>
    <ignoredError sqref="G99" evalError="1"/>
    <ignoredError sqref="H99" evalError="1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Valuation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2026-03-25T15:40:57Z</dcterms:created>
  <dcterms:modified xsi:type="dcterms:W3CDTF">2026-03-31T14:48:06Z</dcterms:modified>
</cp:coreProperties>
</file>